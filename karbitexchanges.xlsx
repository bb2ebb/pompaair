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docProps/custom.xml" ContentType="application/vnd.openxmlformats-officedocument.custom-properties+xml"/>
  <Override PartName="/docProps/app.xml" ContentType="application/vnd.openxmlformats-officedocument.extended-properties+xml"/>
  <Override PartName="/docProps/core.xml" ContentType="application/vnd.openxmlformats-package.core-properties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worksheets/sheet6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982" firstSheet="0" activeTab="0"/>
  </bookViews>
  <sheets>
    <sheet name="Table" sheetId="1" state="visible" r:id="rId2"/>
    <sheet name="Function" sheetId="2" state="visible" r:id="rId3"/>
    <sheet name="PROCEDURE" sheetId="3" state="visible" r:id="rId4"/>
    <sheet name="coretan query" sheetId="4" state="visible" r:id="rId5"/>
    <sheet name="TRIGGERS" sheetId="5" state="visible" r:id="rId6"/>
    <sheet name="Sheet9" sheetId="6" state="visible" r:id="rId7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<sst xmlns="http://schemas.openxmlformats.org/spreadsheetml/2006/main" count="1079" uniqueCount="415">
  <si>
    <t>exc_poloniex</t>
  </si>
  <si>
    <t>id</t>
  </si>
  <si>
    <t>VARCHAR(50)</t>
  </si>
  <si>
    <t>aktif</t>
  </si>
  <si>
    <t>BOOLEAN</t>
  </si>
  <si>
    <t>currency</t>
  </si>
  <si>
    <t>alias_currency</t>
  </si>
  <si>
    <t>VARCHAR(100)</t>
  </si>
  <si>
    <t>base</t>
  </si>
  <si>
    <t>alias_base</t>
  </si>
  <si>
    <t>bid</t>
  </si>
  <si>
    <t>DECIMAL(65,8)</t>
  </si>
  <si>
    <t>ask</t>
  </si>
  <si>
    <t>volume_btc</t>
  </si>
  <si>
    <t>volume_alt</t>
  </si>
  <si>
    <t>date_input</t>
  </si>
  <si>
    <t>DATETIME</t>
  </si>
  <si>
    <t>date_update</t>
  </si>
  <si>
    <t>link</t>
  </si>
  <si>
    <t>VARCHAR(300)</t>
  </si>
  <si>
    <t>status</t>
  </si>
  <si>
    <t>CHAR(1)</t>
  </si>
  <si>
    <t>date_status</t>
  </si>
  <si>
    <t>ket_status</t>
  </si>
  <si>
    <t>INT(3)</t>
  </si>
  <si>
    <t>exc_bittrex</t>
  </si>
  <si>
    <t>openbuyorder</t>
  </si>
  <si>
    <t>INT(10)</t>
  </si>
  <si>
    <t>opensellorder</t>
  </si>
  <si>
    <t>exc_ccex</t>
  </si>
  <si>
    <t>date_status DATETIME</t>
  </si>
  <si>
    <t>exc_yobit</t>
  </si>
  <si>
    <t>exc_vipbtckoid</t>
  </si>
  <si>
    <t>exc_cryptopia</t>
  </si>
  <si>
    <t>exc_btce</t>
  </si>
  <si>
    <t>exc_bleutrade</t>
  </si>
  <si>
    <t>volume</t>
  </si>
  <si>
    <t>volume_base</t>
  </si>
  <si>
    <t>YS</t>
  </si>
  <si>
    <t>bdb_poloniex</t>
  </si>
  <si>
    <t>CHAR(64) NOT NULL CHECK (id&lt;&gt;'')</t>
  </si>
  <si>
    <t>idcurrency</t>
  </si>
  <si>
    <t>VARCHAR(50) NOT NULL NOT NULL CHECK (idcurrency&lt;&gt;'')</t>
  </si>
  <si>
    <t>VARCHAR(50) NOT NULL NOT NULL CHECK (currency&lt;&gt;'')</t>
  </si>
  <si>
    <t>VARCHAR(100) NOT NULL NOT NULL CHECK (alias_currency&lt;&gt;'')</t>
  </si>
  <si>
    <t>date</t>
  </si>
  <si>
    <t>DATETIME NOT NULL NOT NULL CHECK (date&lt;&gt;'')</t>
  </si>
  <si>
    <t>type</t>
  </si>
  <si>
    <t>VARCHAR(4) NOT NULL NOT NULL CHECK (type&lt;&gt;'')</t>
  </si>
  <si>
    <t>rate</t>
  </si>
  <si>
    <t>DECIMAL(65,8) NOT NULL NOT NULL CHECK (rate&lt;&gt;'')</t>
  </si>
  <si>
    <t>amount</t>
  </si>
  <si>
    <t>DECIMAL(65,8) NOT NULL NOT NULL CHECK (amount&lt;&gt;'')</t>
  </si>
  <si>
    <t>total</t>
  </si>
  <si>
    <t>DECIMAL(65,8) NOT NULL NOT NULL CHECK (total&lt;&gt;'')</t>
  </si>
  <si>
    <t>bdb_bittrex</t>
  </si>
  <si>
    <t>bitcointalk</t>
  </si>
  <si>
    <t>judul</t>
  </si>
  <si>
    <t>VARCHAR(10000) NOT NULL NOT NULL CHECK (judul&lt;&gt;'')</t>
  </si>
  <si>
    <t>VARCHAR(10000) NOT NULL NOT NULL CHECK (link&lt;&gt;'')</t>
  </si>
  <si>
    <t>DATETIME NOT NULL NOT NULL CHECK (date_input&lt;&gt;'')</t>
  </si>
  <si>
    <t>twitter</t>
  </si>
  <si>
    <t>VARCHAR(200)</t>
  </si>
  <si>
    <t>slack</t>
  </si>
  <si>
    <t>facebook</t>
  </si>
  <si>
    <t>website</t>
  </si>
  <si>
    <t>bitcointalk_kontak</t>
  </si>
  <si>
    <t>pk_bit</t>
  </si>
  <si>
    <t>VARCHAR(222) NOT NULL CHECK (link&lt;&gt;'')</t>
  </si>
  <si>
    <t>savecoin</t>
  </si>
  <si>
    <t>pk_savecoin</t>
  </si>
  <si>
    <t>idcoin</t>
  </si>
  <si>
    <t>VARCHAR(100) NOT NULL DEFAULT '1'</t>
  </si>
  <si>
    <t>lkkoin</t>
  </si>
  <si>
    <t>exchange</t>
  </si>
  <si>
    <t>DATETIME NOT NULL DEFAULT NOW()</t>
  </si>
  <si>
    <t>savecoinx</t>
  </si>
  <si>
    <t>coin</t>
  </si>
  <si>
    <t>VARCHAR(64)</t>
  </si>
  <si>
    <t>nmlengkap</t>
  </si>
  <si>
    <t>FUNCTION hitung_keuntungan</t>
  </si>
  <si>
    <t>DROP FUNCTION hitung_keuntungan;</t>
  </si>
  <si>
    <t>DELIMITER $$</t>
  </si>
  <si>
    <t>CREATE FUNCTION hitung_keuntungan (ask DECIMAL(60,8), bid DECIMAL(60,8))</t>
  </si>
  <si>
    <t>RETURNS DECIMAL(60,3)</t>
  </si>
  <si>
    <t>BEGIN </t>
  </si>
  <si>
    <t>DECLARE dist DECIMAL(60,3);</t>
  </si>
  <si>
    <t>IF (ask&lt;bid) THEN SET dist =((GREATEST(bid,ask)-LEAST(bid,ask))/LEAST(bid,ask))*100;</t>
  </si>
  <si>
    <t>ELSEIF (ask&gt;bid) THEN SET dist =-1*(((GREATEST(bid,ask)-LEAST(bid,ask))/LEAST(bid,ask))*100);</t>
  </si>
  <si>
    <t>ELSE SET dist=0;</t>
  </si>
  <si>
    <t>END IF;</t>
  </si>
  <si>
    <t>RETURN dist;</t>
  </si>
  <si>
    <t>END$$</t>
  </si>
  <si>
    <t>DELIMITER ;</t>
  </si>
  <si>
    <t>FUNCTION updown</t>
  </si>
  <si>
    <t>DROP FUNCTION updown;</t>
  </si>
  <si>
    <t>CREATE FUNCTION updown (ask DECIMAL(60,8), bid DECIMAL(60,8))</t>
  </si>
  <si>
    <t>RETURNS VARCHAR(4)</t>
  </si>
  <si>
    <t>DECLARE dist VARCHAR(4);</t>
  </si>
  <si>
    <t>IF (ask&lt;bid) THEN SET dist = 'UP';</t>
  </si>
  <si>
    <t>ELSEIF (ask&gt;bid) THEN SET dist = 'DOWN';</t>
  </si>
  <si>
    <t>ELSE SET dist='SAME';</t>
  </si>
  <si>
    <t>FUNCTION detect_crypto</t>
  </si>
  <si>
    <t>DROP FUNCTION detect_crypto;</t>
  </si>
  <si>
    <t>CREATE FUNCTION detect_crypto (a VARCHAR(100), b VARCHAR(100))</t>
  </si>
  <si>
    <t>RETURNS INT(1)</t>
  </si>
  <si>
    <t>DECLARE dist INT(1);</t>
  </si>
  <si>
    <t>DECLARE da VARCHAR(100);</t>
  </si>
  <si>
    <t>DECLARE db VARCHAR(100);</t>
  </si>
  <si>
    <t>IF ((a IS NULL || a='') &amp;&amp; (b IS NOT NULL || b!='')) THEN SET da = b; SET db=b;</t>
  </si>
  <si>
    <t>ELSEIF ((b IS NULL || b='') &amp;&amp; (a IS NOT NULL || a!='')) THEN SET da = a; SET db = a;</t>
  </si>
  <si>
    <t>ELSEIF ((b IS NULL || b='') &amp;&amp; (a IS NULL || a='')) THEN SET da = '1'; SET db = '1';</t>
  </si>
  <si>
    <t>ELSEIF ((b IS NOT NULL || b!='') &amp;&amp; (a IS NOT NULL || a!='')) THEN SET da = a; SET db = b;</t>
  </si>
  <si>
    <t>IF (da=db) THEN SET dist = 1;</t>
  </si>
  <si>
    <t>ELSE SET dist = 0;</t>
  </si>
  <si>
    <t>PROCEDURE hapusdataexpiry</t>
  </si>
  <si>
    <t>DROP PROCEDURE hapusdataexpiry;</t>
  </si>
  <si>
    <t>CREATE PROCEDURE hapusdataexpiry (ask INT(3))</t>
  </si>
  <si>
    <t>DELETE FROM exc_bittrex WHERE ket_status=ask AND status='d';</t>
  </si>
  <si>
    <t>DELETE FROM exc_bleutrade WHERE ket_status=ask AND status='d';</t>
  </si>
  <si>
    <t>DELETE FROM exc_btce WHERE ket_status=ask AND status='d';</t>
  </si>
  <si>
    <t>DELETE FROM exc_ccex WHERE ket_status=ask AND status='d';</t>
  </si>
  <si>
    <t>DELETE FROM exc_cryptopia WHERE ket_status=ask AND status='d';</t>
  </si>
  <si>
    <t>DELETE FROM exc_poloniex WHERE ket_status=ask AND status='d';</t>
  </si>
  <si>
    <t>DELETE FROM exc_vipbtckoid WHERE ket_status=ask AND status='d';</t>
  </si>
  <si>
    <t>DELETE FROM exc_yobit WHERE ket_status=ask AND status='d';</t>
  </si>
  <si>
    <t>PROCEDURE updatethread</t>
  </si>
  <si>
    <t>DROP PROCEDURE updatethread;</t>
  </si>
  <si>
    <t>CREATE PROCEDURE updatethread (ask VARCHAR(500), init VARCHAR(50))</t>
  </si>
  <si>
    <t>UPDATE exc_bittrex SET thread=ask WHERE currency=init;</t>
  </si>
  <si>
    <t>UPDATE exc_bleutrade SET thread=ask WHERE currency=init;</t>
  </si>
  <si>
    <t>UPDATE exc_btce SET thread=ask WHERE currency=init;</t>
  </si>
  <si>
    <t>UPDATE exc_ccex SET thread=ask WHERE currency=init;</t>
  </si>
  <si>
    <t>UPDATE exc_cryptopia SET thread=ask WHERE currency=init;</t>
  </si>
  <si>
    <t>UPDATE exc_poloniex SET thread=ask WHERE currency=init;</t>
  </si>
  <si>
    <t>UPDATE exc_vipbtckoid SET thread=ask WHERE currency=init;</t>
  </si>
  <si>
    <t>UPDATE exc_yobit SET thread=ask WHERE currency=init;</t>
  </si>
  <si>
    <t>PROCEDURE updatethread2</t>
  </si>
  <si>
    <t>DROP PROCEDURE updatethread2;</t>
  </si>
  <si>
    <t>CREATE PROCEDURE updatethread2 (ask VARCHAR(500), init VARCHAR(50), init2 VARCHAR(50))</t>
  </si>
  <si>
    <t>UPDATE exc_bittrex SET thread=ask WHERE currency=init AND alias=init2;</t>
  </si>
  <si>
    <t>UPDATE exc_bleutrade SET thread=ask WHERE currency=init AND alias=init2;</t>
  </si>
  <si>
    <t>UPDATE exc_btce SET thread=ask WHERE currency=init AND alias=init2;</t>
  </si>
  <si>
    <t>UPDATE exc_ccex SET thread=ask WHERE currency=init AND alias=init2;</t>
  </si>
  <si>
    <t>UPDATE exc_cryptopia SET thread=ask WHERE currency=init AND alias=init2;</t>
  </si>
  <si>
    <t>UPDATE exc_poloniex SET thread=ask WHERE currency=init AND alias=init2;</t>
  </si>
  <si>
    <t>UPDATE exc_vipbtckoid SET thread=ask WHERE currency=init AND alias=init2;</t>
  </si>
  <si>
    <t>UPDATE exc_yobit SET thread=ask WHERE currency=init AND alias=init2;</t>
  </si>
  <si>
    <t>DROP TRIGGER test_beforeinsert;</t>
  </si>
  <si>
    <t>CREATE TRIGGER  test_beforeinsert</t>
  </si>
  <si>
    <t>BEFORE INSERT ON test</t>
  </si>
  <si>
    <t>FOR EACH ROW</t>
  </si>
  <si>
    <t>BEGIN</t>
  </si>
  <si>
    <t>DECLARE dist VARCHAR(1000);</t>
  </si>
  <si>
    <t>SET dist=(SELECT od FROM test WHERE ID=new.ID LIMIT 1);</t>
  </si>
  <si>
    <t>IF(NEW.od IS NULL) THEN SET NEW.od=dist;END IF;</t>
  </si>
  <si>
    <t>CREATE TRIGGER bdbbittrex_input</t>
  </si>
  <si>
    <t>BEFORE INSERT ON bdb_bittrex</t>
  </si>
  <si>
    <t>set NEW.id= SHA2(CONCAT(NEW.currency,NEW.alias_currency,NEW.date,NEW.type,NEW.rate,NEW.amount,NEW.total),256);</t>
  </si>
  <si>
    <t>set NEW.date= UNIX_TIMESTAMP(NEW.date);</t>
  </si>
  <si>
    <t>DROP TRIGGER bdbpoloniex_input;</t>
  </si>
  <si>
    <t>set NEW.timestamp = UNIX_TIMESTAMP(TRIM(NEW.date);</t>
  </si>
  <si>
    <t>CREATE TRIGGER bdbpoloniex_input</t>
  </si>
  <si>
    <t>BEFORE INSERT ON bdb_poloniex</t>
  </si>
  <si>
    <t>set NEW.timestamp= UNIX_TIMESTAMP(NEW.date);</t>
  </si>
  <si>
    <t>set NEW.timestamp = SELECT UNIX_TIMESTAMP(date) FROM bdb_poloniex WHERE id=NEW.id;</t>
  </si>
  <si>
    <t>DROP TRIGGER bdbpoloniex_afterinsert;</t>
  </si>
  <si>
    <t>CREATE TRIGGER bdbpoloniex_afterinsert</t>
  </si>
  <si>
    <t>AFTER INSERT ON bdb_poloniex</t>
  </si>
  <si>
    <t>UPDATE bdb_poloniex SET timestamp = UNIX_TIMESTAMP(NEW.date) WHERE id=NEW.id;</t>
  </si>
  <si>
    <t>CREATE TRIGGER bittrex_input</t>
  </si>
  <si>
    <t>BEFORE INSERT ON exc_bittrex</t>
  </si>
  <si>
    <t>set NEW.link= CONCAT('https://bittrex.com/Market/Index?MarketName=',NEW.base,'-',NEW.currency);</t>
  </si>
  <si>
    <t>SET NEW.date_input= NOW();</t>
  </si>
  <si>
    <t>CREATE TRIGGER bleutrade_input</t>
  </si>
  <si>
    <t>BEFORE INSERT ON exc_bleutrade</t>
  </si>
  <si>
    <t>set NEW.link= CONCAT('https://bleutrade.com/exchange/',NEW.currency,'/',NEW.base);</t>
  </si>
  <si>
    <t>CREATE TRIGGER btce_input</t>
  </si>
  <si>
    <t>BEFORE INSERT ON exc_btce</t>
  </si>
  <si>
    <t>set NEW.link= CONCAT('https://btc-e.com/exchange/',NEW.currency,'_',NEW.base);</t>
  </si>
  <si>
    <t>CREATE TRIGGER ccex_input</t>
  </si>
  <si>
    <t>BEFORE INSERT ON exc_ccex</t>
  </si>
  <si>
    <t>set NEW.link= CONCAT('https://c-cex.com/?p=',LOWER(NEW.currency),'-',LOWER(NEW.base));</t>
  </si>
  <si>
    <t>CREATE TRIGGER cryptopia_input</t>
  </si>
  <si>
    <t>BEFORE INSERT ON exc_cryptopia</t>
  </si>
  <si>
    <t>set NEW.link= CONCAT('https://www.cryptopia.co.nz/Exchange/?market=',NEW.currency,'_',NEW.base);</t>
  </si>
  <si>
    <t>CREATE TRIGGER poloniex_input</t>
  </si>
  <si>
    <t>BEFORE INSERT ON exc_poloniex</t>
  </si>
  <si>
    <t>set NEW.link= CONCAT('https://poloniex.com/exchange#',NEW.base,'_',NEW.currency);</t>
  </si>
  <si>
    <t>CREATE TRIGGER vipbtckoid_input</t>
  </si>
  <si>
    <t>BEFORE INSERT ON exc_vipbtckoid</t>
  </si>
  <si>
    <t>set NEW.link= CONCAT('https://vip.bitcoin.co.id/',LOWER(NEW.currency),LOWER(NEW.base));</t>
  </si>
  <si>
    <t>CREATE TRIGGER yobit_input</t>
  </si>
  <si>
    <t>BEFORE INSERT ON exc_yobit</t>
  </si>
  <si>
    <t>set NEW.link= CONCAT('https://yobit.net/en/trade/',UPPER(NEW.currency),'/',UPPER(NEW.base));</t>
  </si>
  <si>
    <t>DROP TRIGGER bittrex_updatedate;</t>
  </si>
  <si>
    <t>CREATE TRIGGER bittrex_updatedate</t>
  </si>
  <si>
    <t>BEFORE UPDATE ON exc_bittrex</t>
  </si>
  <si>
    <t>SET NEW.date_update= NOW();</t>
  </si>
  <si>
    <t>IF (OLD.status!=NEW.status &amp;&amp; NEW.status='e') THEN SET NEW.status='e'; SET NEW.date_status=NOW(); SET NEW.ket_status='0';</t>
  </si>
  <si>
    <t>ELSEIF (OLD.status!=NEW.status &amp;&amp; NEW.status='d') THEN SET NEW.status='d'; SET NEW.date_status=NOW(); SET NEW.ket_status=DATE(NOW())-DATE(NEW.date_status);</t>
  </si>
  <si>
    <t>SET NEW.history_buy1jam=(SELECT COUNT(id) FROM bdb_bittrex WHERE type='buy' AND idcurrency=NEW.id  AND date&gt;=DATE_SUB(NOW(), INTERVAL 9 HOUR));</t>
  </si>
  <si>
    <t>SET NEW.history_sell1jam=(SELECT COUNT(id) FROM bdb_bittrex WHERE type='sell' AND idcurrency=NEW.id  AND date&gt;=DATE_SUB(NOW(), INTERVAL 9 HOUR));</t>
  </si>
  <si>
    <t>SET NEW.totalhistory1jam=NEW.history_buy1jam+NEW.history_sell1jam;</t>
  </si>
  <si>
    <t>SET NEW.history_buy24jam=(SELECT COUNT(id) FROM bdb_bittrex WHERE type='buy' AND idcurrency=NEW.id  AND date&gt;=DATE_SUB(NOW(), INTERVAL 32 HOUR));</t>
  </si>
  <si>
    <t>SET NEW.history_sell24jam=(SELECT COUNT(id) FROM bdb_bittrex WHERE type='sell' AND idcurrency=NEW.id  AND date&gt;=DATE_SUB(NOW(), INTERVAL 32 HOUR));</t>
  </si>
  <si>
    <t>SET NEW.totalhistory24jam=NEW.history_buy24jam+NEW.history_sell24jam;</t>
  </si>
  <si>
    <t>DROP TRIGGER bleutrade_updatedate;</t>
  </si>
  <si>
    <t>CREATE TRIGGER bleutrade_updatedate</t>
  </si>
  <si>
    <t>BEFORE UPDATE ON exc_bleutrade</t>
  </si>
  <si>
    <t>DROP TRIGGER btce_updatedate;</t>
  </si>
  <si>
    <t>CREATE TRIGGER btce_updatedate</t>
  </si>
  <si>
    <t>BEFORE UPDATE ON exc_btce</t>
  </si>
  <si>
    <t>DROP TRIGGER ccex_updatedate;</t>
  </si>
  <si>
    <t>CREATE TRIGGER ccex_updatedate</t>
  </si>
  <si>
    <t>BEFORE UPDATE ON exc_ccex</t>
  </si>
  <si>
    <t>DROP TRIGGER cryptopia_updatedate;</t>
  </si>
  <si>
    <t>CREATE TRIGGER cryptopia_updatedate</t>
  </si>
  <si>
    <t>BEFORE UPDATE ON exc_cryptopia</t>
  </si>
  <si>
    <t>DROP TRIGGER poloniex_updatedate;</t>
  </si>
  <si>
    <t>CREATE TRIGGER poloniex_updatedate</t>
  </si>
  <si>
    <t>BEFORE UPDATE ON exc_poloniex</t>
  </si>
  <si>
    <t>DROP TRIGGER vipbtckoid_updatedate;</t>
  </si>
  <si>
    <t>CREATE TRIGGER vipbtckoid_updatedate</t>
  </si>
  <si>
    <t>UPDATE exc_poloniex SET history_buy1jam=(SELECT COUNT(id) FROM bdb_poloniex WHERE type='buy' AND idcurrency=exc_poloniex.id  AND date&gt;=DATE_SUB(NOW(), INTERVAL 8 HOUR));</t>
  </si>
  <si>
    <t>BEFORE UPDATE ON exc_vipbtckoid</t>
  </si>
  <si>
    <t>UPDATE exc_poloniex SET history_sell1jam=(SELECT COUNT(id) FROM bdb_poloniex WHERE type='sell' AND idcurrency=exc_poloniex.id  AND date&gt;=DATE_SUB(NOW(), INTERVAL 8 HOUR));</t>
  </si>
  <si>
    <t>ELSEIF (OLD.status!=NEW.status &amp;&amp; NEW.status='d') THEN SET NEW.status='d'; SET NEW.date_status=NOW(); SET NEW.ket_status=PERIOD_DIFF(DATE(NOW()),DATE(NEW.date_status));</t>
  </si>
  <si>
    <t>DROP TRIGGER yobit_updatedate;</t>
  </si>
  <si>
    <t>PERIOD_DIFF(DATE(NOW()),DATE(NEW.date_status))</t>
  </si>
  <si>
    <t>CREATE TRIGGER yobit_updatedate</t>
  </si>
  <si>
    <t>BEFORE UPDATE ON exc_yobit</t>
  </si>
  <si>
    <t>DROP TRIGGER bitcointalk_beforeinsert;</t>
  </si>
  <si>
    <t>CREATE TRIGGER  bitcointalk_beforeinsert</t>
  </si>
  <si>
    <t>BEFORE INSERT ON bitcointalk</t>
  </si>
  <si>
    <t>SET NEW.id = SHA2(CONCAT(NEW.judul,NEW.link),256);</t>
  </si>
  <si>
    <t>DROP TRIGGER bitcointalk_afterdelete;</t>
  </si>
  <si>
    <t>CREATE TRIGGER  bitcointalk_afterdelete</t>
  </si>
  <si>
    <t>AFTER DELETE ON bitcointalk</t>
  </si>
  <si>
    <t>UPDATE bitcointalk_count SET cont =(SELECT COUNT(id) FROM bitcointalk) WHERE id='a1';</t>
  </si>
  <si>
    <t>DROP TRIGGER savecoin_beforeinsert;</t>
  </si>
  <si>
    <t>CREATE TRIGGER  savecoin_beforeinsert</t>
  </si>
  <si>
    <t>BEFORE INSERT ON savecoin</t>
  </si>
  <si>
    <t>SET NEW.id = SHA2(CONCAT(NEW.idcoin,NEW.lkkoin,NEW.exchange),256);</t>
  </si>
  <si>
    <t>Sleep 60</t>
  </si>
  <si>
    <t>Sleep 61</t>
  </si>
  <si>
    <t>Sleep 62</t>
  </si>
  <si>
    <t>Sleep 63</t>
  </si>
  <si>
    <t>Sleep 64</t>
  </si>
  <si>
    <t>Sleep 65</t>
  </si>
  <si>
    <t>Sleep 66</t>
  </si>
  <si>
    <t>Sleep 67</t>
  </si>
  <si>
    <t>Sleep 68</t>
  </si>
  <si>
    <t>Sleep 69</t>
  </si>
  <si>
    <t>Sleep 70</t>
  </si>
  <si>
    <t>Sleep 71</t>
  </si>
  <si>
    <t>Sleep 72</t>
  </si>
  <si>
    <t>Sleep 73</t>
  </si>
  <si>
    <t>Sleep 74</t>
  </si>
  <si>
    <t>Sleep 75</t>
  </si>
  <si>
    <t>Sleep 76</t>
  </si>
  <si>
    <t>Sleep 77</t>
  </si>
  <si>
    <t>Sleep 78</t>
  </si>
  <si>
    <t>Sleep 79</t>
  </si>
  <si>
    <t>Sleep 80</t>
  </si>
  <si>
    <t>Sleep 81</t>
  </si>
  <si>
    <t>Sleep 82</t>
  </si>
  <si>
    <t>Sleep 83</t>
  </si>
  <si>
    <t>Sleep 84</t>
  </si>
  <si>
    <t>Sleep 85</t>
  </si>
  <si>
    <t>Sleep 86</t>
  </si>
  <si>
    <t>Sleep 87</t>
  </si>
  <si>
    <t>Sleep 88</t>
  </si>
  <si>
    <t>Sleep 89</t>
  </si>
  <si>
    <t>Sleep 90</t>
  </si>
  <si>
    <t>Sleep 91</t>
  </si>
  <si>
    <t>Sleep 92</t>
  </si>
  <si>
    <t>Sleep 93</t>
  </si>
  <si>
    <t>Sleep 94</t>
  </si>
  <si>
    <t>Sleep 95</t>
  </si>
  <si>
    <t>Sleep 96</t>
  </si>
  <si>
    <t>Sleep 97</t>
  </si>
  <si>
    <t>Sleep 98</t>
  </si>
  <si>
    <t>Sleep 99</t>
  </si>
  <si>
    <t>Sleep 100</t>
  </si>
  <si>
    <t>Sleep 101</t>
  </si>
  <si>
    <t>Sleep 102</t>
  </si>
  <si>
    <t>Sleep 103</t>
  </si>
  <si>
    <t>Sleep 104</t>
  </si>
  <si>
    <t>Sleep 105</t>
  </si>
  <si>
    <t>Sleep 106</t>
  </si>
  <si>
    <t>Sleep 107</t>
  </si>
  <si>
    <t>Sleep 108</t>
  </si>
  <si>
    <t>Sleep 109</t>
  </si>
  <si>
    <t>Sleep 110</t>
  </si>
  <si>
    <t>Sleep 111</t>
  </si>
  <si>
    <t>Sleep 112</t>
  </si>
  <si>
    <t>Sleep 113</t>
  </si>
  <si>
    <t>Sleep 114</t>
  </si>
  <si>
    <t>Sleep 115</t>
  </si>
  <si>
    <t>Sleep 116</t>
  </si>
  <si>
    <t>Sleep 117</t>
  </si>
  <si>
    <t>Sleep 118</t>
  </si>
  <si>
    <t>Sleep 119</t>
  </si>
  <si>
    <t>Sleep 120</t>
  </si>
  <si>
    <t>Sleep 121</t>
  </si>
  <si>
    <t>Sleep 122</t>
  </si>
  <si>
    <t>Sleep 123</t>
  </si>
  <si>
    <t>Sleep 124</t>
  </si>
  <si>
    <t>Sleep 125</t>
  </si>
  <si>
    <t>Sleep 126</t>
  </si>
  <si>
    <t>Sleep 127</t>
  </si>
  <si>
    <t>Sleep 128</t>
  </si>
  <si>
    <t>Sleep 129</t>
  </si>
  <si>
    <t>Sleep 130</t>
  </si>
  <si>
    <t>Sleep 131</t>
  </si>
  <si>
    <t>Sleep 132</t>
  </si>
  <si>
    <t>Sleep 133</t>
  </si>
  <si>
    <t>Sleep 134</t>
  </si>
  <si>
    <t>Sleep 135</t>
  </si>
  <si>
    <t>Sleep 136</t>
  </si>
  <si>
    <t>Sleep 137</t>
  </si>
  <si>
    <t>Sleep 138</t>
  </si>
  <si>
    <t>Sleep 139</t>
  </si>
  <si>
    <t>Sleep 140</t>
  </si>
  <si>
    <t>Sleep 141</t>
  </si>
  <si>
    <t>Sleep 142</t>
  </si>
  <si>
    <t>Sleep 143</t>
  </si>
  <si>
    <t>Sleep 144</t>
  </si>
  <si>
    <t>Sleep 145</t>
  </si>
  <si>
    <t>Sleep 146</t>
  </si>
  <si>
    <t>Sleep 147</t>
  </si>
  <si>
    <t>Sleep 148</t>
  </si>
  <si>
    <t>Sleep 149</t>
  </si>
  <si>
    <t>Sleep 150</t>
  </si>
  <si>
    <t>Sleep 151</t>
  </si>
  <si>
    <t>Sleep 152</t>
  </si>
  <si>
    <t>Sleep 153</t>
  </si>
  <si>
    <t>Sleep 154</t>
  </si>
  <si>
    <t>Sleep 155</t>
  </si>
  <si>
    <t>Sleep 156</t>
  </si>
  <si>
    <t>Sleep 157</t>
  </si>
  <si>
    <t>Sleep 158</t>
  </si>
  <si>
    <t>Sleep 159</t>
  </si>
  <si>
    <t>Sleep 160</t>
  </si>
  <si>
    <t>Sleep 161</t>
  </si>
  <si>
    <t>Sleep 162</t>
  </si>
  <si>
    <t>Sleep 163</t>
  </si>
  <si>
    <t>Sleep 164</t>
  </si>
  <si>
    <t>Sleep 165</t>
  </si>
  <si>
    <t>Sleep 166</t>
  </si>
  <si>
    <t>Sleep 167</t>
  </si>
  <si>
    <t>Sleep 168</t>
  </si>
  <si>
    <t>Sleep 169</t>
  </si>
  <si>
    <t>Sleep 170</t>
  </si>
  <si>
    <t>Sleep 171</t>
  </si>
  <si>
    <t>Sleep 172</t>
  </si>
  <si>
    <t>Sleep 173</t>
  </si>
  <si>
    <t>Sleep 174</t>
  </si>
  <si>
    <t>Sleep 175</t>
  </si>
  <si>
    <t>Sleep 176</t>
  </si>
  <si>
    <t>Sleep 177</t>
  </si>
  <si>
    <t>Sleep 178</t>
  </si>
  <si>
    <t>Sleep 179</t>
  </si>
  <si>
    <t>Sleep 180</t>
  </si>
  <si>
    <t>Sleep 181</t>
  </si>
  <si>
    <t>Sleep 182</t>
  </si>
  <si>
    <t>Sleep 183</t>
  </si>
  <si>
    <t>Sleep 184</t>
  </si>
  <si>
    <t>Sleep 185</t>
  </si>
  <si>
    <t>Sleep 186</t>
  </si>
  <si>
    <t>Sleep 187</t>
  </si>
  <si>
    <t>Sleep 188</t>
  </si>
  <si>
    <t>Sleep 189</t>
  </si>
  <si>
    <t>Sleep 190</t>
  </si>
  <si>
    <t>Sleep 191</t>
  </si>
  <si>
    <t>Sleep 192</t>
  </si>
  <si>
    <t>Sleep 193</t>
  </si>
  <si>
    <t>Sleep 194</t>
  </si>
  <si>
    <t>Sleep 195</t>
  </si>
  <si>
    <t>Sleep 196</t>
  </si>
  <si>
    <t>Sleep 197</t>
  </si>
  <si>
    <t>Sleep 198</t>
  </si>
  <si>
    <t>Sleep 199</t>
  </si>
  <si>
    <t>Sleep 200</t>
  </si>
  <si>
    <t>Sleep 201</t>
  </si>
  <si>
    <t>Sleep 202</t>
  </si>
  <si>
    <t>Sleep 203</t>
  </si>
  <si>
    <t>Sleep 204</t>
  </si>
  <si>
    <t>Sleep 205</t>
  </si>
  <si>
    <t>Sleep 206</t>
  </si>
  <si>
    <t>Sleep 207</t>
  </si>
  <si>
    <t>Sleep 208</t>
  </si>
  <si>
    <t>Sleep 209</t>
  </si>
  <si>
    <t>Sleep 210</t>
  </si>
  <si>
    <t>Sleep 211</t>
  </si>
  <si>
    <t>Sleep 212</t>
  </si>
  <si>
    <t>Sleep 213</t>
  </si>
  <si>
    <t>Sleep 214</t>
  </si>
  <si>
    <t>Sleep 215</t>
  </si>
  <si>
    <t>Sleep 216</t>
  </si>
  <si>
    <t>Sleep 217</t>
  </si>
  <si>
    <t>Sleep 218</t>
  </si>
  <si>
    <t>Sleep 219</t>
  </si>
  <si>
    <t>Sleep 220</t>
  </si>
  <si>
    <t>Sleep 221</t>
  </si>
  <si>
    <t>Sleep 222</t>
  </si>
  <si>
    <t>Sleep 223</t>
  </si>
  <si>
    <t>Sleep 224</t>
  </si>
  <si>
    <t>Sleep 225</t>
  </si>
  <si>
    <t>Sleep 226</t>
  </si>
  <si>
    <t>Sleep 227</t>
  </si>
  <si>
    <t>Sleep 228</t>
  </si>
  <si>
    <t>Sleep 229</t>
  </si>
  <si>
    <t>Sleep 230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</si>
</sst>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HH:MM:SS\ AM/PM"/>
    <numFmt numFmtId="166" formatCode="MM/DD/YY"/>
    <numFmt numFmtId="167" formatCode="&quot;TRUE&quot;;&quot;TRUE&quot;;&quot;FALSE&quot;"/>
  </numFmts>
  <fonts count="5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2"/>
      <charset val="1"/>
    </font>
  </fonts>
  <fills count="5">
    <fill>
      <patternFill patternType="none"/>
    </fill>
    <fill>
      <patternFill patternType="gray125"/>
    </fill>
    <fill>
      <patternFill patternType="solid">
        <fgColor rgb="FF00FFFF"/>
        <bgColor rgb="FF00FFFF"/>
      </patternFill>
    </fill>
    <fill>
      <patternFill patternType="solid">
        <fgColor rgb="FFFFFF00"/>
        <bgColor rgb="FFFFFF00"/>
      </patternFill>
    </fill>
    <fill>
      <patternFill patternType="solid">
        <fgColor rgb="FFFF33CC"/>
        <bgColor rgb="FFFF00FF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medium"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 customBuiltin="false"/>
    <cellStyle name="Comma" xfId="15" builtinId="3" customBuiltin="false"/>
    <cellStyle name="Comma [0]" xfId="16" builtinId="6" customBuiltin="false"/>
    <cellStyle name="Currency" xfId="17" builtinId="4" customBuiltin="false"/>
    <cellStyle name="Currency [0]" xfId="18" builtinId="7" customBuiltin="false"/>
    <cellStyle name="Percent" xfId="19" builtinId="5" customBuiltin="false"/>
  </cellStyles>
  <colors>
    <indexedColors>
      <rgbColor rgb="FF000000"/>
      <rgbColor rgb="FFFFFFFF"/>
      <rgbColor rgb="FFFF0000"/>
      <rgbColor rgb="FF00FF00"/>
      <rgbColor rgb="FF0000FF"/>
      <rgbColor rgb="FFFFFF00"/>
      <rgbColor rgb="FFFF33CC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worksheet" Target="worksheets/sheet4.xml"/><Relationship Id="rId6" Type="http://schemas.openxmlformats.org/officeDocument/2006/relationships/worksheet" Target="worksheets/sheet5.xml"/><Relationship Id="rId7" Type="http://schemas.openxmlformats.org/officeDocument/2006/relationships/worksheet" Target="worksheets/sheet6.xml"/><Relationship Id="rId8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G261"/>
  <sheetViews>
    <sheetView windowProtection="false" showFormulas="false" showGridLines="true" showRowColHeaders="true" showZeros="true" rightToLeft="false" tabSelected="true" showOutlineSymbols="true" defaultGridColor="true" view="normal" topLeftCell="A253" colorId="64" zoomScale="100" zoomScaleNormal="100" zoomScalePageLayoutView="100" workbookViewId="0">
      <selection pane="topLeft" activeCell="C265" activeCellId="0" sqref="C265"/>
    </sheetView>
  </sheetViews>
  <sheetFormatPr defaultRowHeight="12.8"/>
  <cols>
    <col collapsed="false" hidden="false" max="1" min="1" style="0" width="17.5510204081633"/>
    <col collapsed="false" hidden="false" max="2" min="2" style="0" width="28.0765306122449"/>
    <col collapsed="false" hidden="false" max="3" min="3" style="0" width="32.1275510204082"/>
    <col collapsed="false" hidden="false" max="6" min="4" style="0" width="8.36734693877551"/>
    <col collapsed="false" hidden="false" max="7" min="7" style="0" width="40.2295918367347"/>
    <col collapsed="false" hidden="false" max="1025" min="8" style="0" width="8.36734693877551"/>
  </cols>
  <sheetData>
    <row r="1" customFormat="false" ht="13.8" hidden="false" customHeight="false" outlineLevel="0" collapsed="false"/>
    <row r="2" customFormat="false" ht="13.8" hidden="false" customHeight="false" outlineLevel="0" collapsed="false"/>
    <row r="3" customFormat="false" ht="13.8" hidden="false" customHeight="false" outlineLevel="0" collapsed="false">
      <c r="E3" s="0" t="str">
        <f aca="false">"DROP TABLE "&amp;Table!A4&amp;";"</f>
        <v>DROP TABLE exc_poloniex;</v>
      </c>
    </row>
    <row r="4" customFormat="false" ht="13.8" hidden="false" customHeight="false" outlineLevel="0" collapsed="false">
      <c r="A4" s="1" t="s">
        <v>0</v>
      </c>
      <c r="E4" s="0" t="str">
        <f aca="false">CONCATENATE("CREATE TABLE ",Table!A4,"(")</f>
        <v>CREATE TABLE exc_poloniex(</v>
      </c>
    </row>
    <row r="5" customFormat="false" ht="13.8" hidden="false" customHeight="false" outlineLevel="0" collapsed="false">
      <c r="A5" s="2" t="s">
        <v>1</v>
      </c>
      <c r="B5" s="0" t="str">
        <f aca="false">"pk_"&amp;Table!A5&amp;"_"&amp;Table!A4</f>
        <v>pk_id_exc_poloniex</v>
      </c>
      <c r="C5" s="0" t="s">
        <v>2</v>
      </c>
      <c r="E5" s="0" t="str">
        <f aca="false">IF(ISBLANK(Table!A5),")ENGINE=MyIsam;",IF(ISBLANK(#REF!),CONCATENATE(Table!A5," ",Table!C5,IF(ISBLANK(Table!B5),"",CONCATENATE(",CONSTRAINT ",Table!B5," PRIMARY KEY(",Table!A5,")",Table!D5,","))),CONCATENATE(Table!A5," ",Table!C5,IF(ISBLANK(Table!B5),",",CONCATENATE(",CONSTRAINT ",Table!B5," PRIMARY KEY(",Table!A5,")",Table!D5,",")))))</f>
        <v>id VARCHAR(50),CONSTRAINT pk_id_exc_poloniex PRIMARY KEY(id),</v>
      </c>
    </row>
    <row r="6" customFormat="false" ht="13.8" hidden="false" customHeight="false" outlineLevel="0" collapsed="false">
      <c r="A6" s="3" t="s">
        <v>3</v>
      </c>
      <c r="C6" s="0" t="s">
        <v>4</v>
      </c>
      <c r="E6" s="0" t="str">
        <f aca="false">IF(ISBLANK(Table!A6),")ENGINE=Innodb;",IF(ISBLANK(Table!A7),CONCATENATE(Table!A6," ",Table!C6,IF(ISBLANK(Table!B6),"",CONCATENATE(",CONSTRAINT ",Table!B6," FOREIGN KEY(",Table!A6,") REFERENCES ",Table!D6,","))),CONCATENATE(Table!A6," ",Table!C6,IF(ISBLANK(Table!B6),",",CONCATENATE(",CONSTRAINT ",Table!B6," FOREIGN KEY(",Table!A6,") REFERENCES ",Table!D6,",")))))</f>
        <v>aktif BOOLEAN,</v>
      </c>
    </row>
    <row r="7" customFormat="false" ht="13.8" hidden="false" customHeight="false" outlineLevel="0" collapsed="false">
      <c r="A7" s="3" t="s">
        <v>5</v>
      </c>
      <c r="C7" s="0" t="s">
        <v>2</v>
      </c>
      <c r="E7" s="0" t="str">
        <f aca="false">IF(ISBLANK(Table!A7),")ENGINE=MyIsam;",IF(ISBLANK(#REF!),CONCATENATE(Table!A7," ",Table!C7,IF(ISBLANK(Table!B7),"",CONCATENATE(",CONSTRAINT ",Table!B7," PRIMARY KEY(",Table!A7,")",Table!D7,","))),CONCATENATE(Table!A7," ",Table!C7,IF(ISBLANK(Table!B7),",",CONCATENATE(",CONSTRAINT ",Table!B7," PRIMARY KEY(",Table!A7,")",Table!D7,",")))))</f>
        <v>currency VARCHAR(50),</v>
      </c>
    </row>
    <row r="8" customFormat="false" ht="13.8" hidden="false" customHeight="false" outlineLevel="0" collapsed="false">
      <c r="A8" s="3" t="s">
        <v>6</v>
      </c>
      <c r="C8" s="0" t="s">
        <v>7</v>
      </c>
      <c r="E8" s="0" t="str">
        <f aca="false">IF(ISBLANK(Table!A8),")ENGINE=Innodb;",IF(ISBLANK(Table!A9),CONCATENATE(Table!A8," ",Table!C8,IF(ISBLANK(Table!B8),"",CONCATENATE(",CONSTRAINT ",Table!B8," FOREIGN KEY(",Table!A8,") REFERENCES ",Table!D8,","))),CONCATENATE(Table!A8," ",Table!C8,IF(ISBLANK(Table!B8),",",CONCATENATE(",CONSTRAINT ",Table!B8," FOREIGN KEY(",Table!A8,") REFERENCES ",Table!D8,",")))))</f>
        <v>alias_currency VARCHAR(100),</v>
      </c>
    </row>
    <row r="9" customFormat="false" ht="13.8" hidden="false" customHeight="false" outlineLevel="0" collapsed="false">
      <c r="A9" s="3" t="s">
        <v>8</v>
      </c>
      <c r="C9" s="0" t="s">
        <v>2</v>
      </c>
      <c r="E9" s="0" t="str">
        <f aca="false">IF(ISBLANK(Table!A9),")ENGINE=Innodb;",IF(ISBLANK(Table!A10),CONCATENATE(Table!A9," ",Table!C9,IF(ISBLANK(Table!B9),"",CONCATENATE(",CONSTRAINT ",Table!B9," FOREIGN KEY(",Table!A9,") REFERENCES ",Table!D9,","))),CONCATENATE(Table!A9," ",Table!C9,IF(ISBLANK(Table!B9),",",CONCATENATE(",CONSTRAINT ",Table!B9," FOREIGN KEY(",Table!A9,") REFERENCES ",Table!D9,",")))))</f>
        <v>base VARCHAR(50),</v>
      </c>
    </row>
    <row r="10" customFormat="false" ht="13.8" hidden="false" customHeight="false" outlineLevel="0" collapsed="false">
      <c r="A10" s="3" t="s">
        <v>9</v>
      </c>
      <c r="C10" s="0" t="s">
        <v>7</v>
      </c>
      <c r="E10" s="0" t="str">
        <f aca="false">IF(ISBLANK(Table!A10),")ENGINE=Innodb;",IF(ISBLANK(Table!A11),CONCATENATE(Table!A10," ",Table!C10,IF(ISBLANK(Table!B10),"",CONCATENATE(",CONSTRAINT ",Table!B10," FOREIGN KEY(",Table!A10,") REFERENCES ",Table!D10,","))),CONCATENATE(Table!A10," ",Table!C10,IF(ISBLANK(Table!B10),",",CONCATENATE(",CONSTRAINT ",Table!B10," FOREIGN KEY(",Table!A10,") REFERENCES ",Table!D10,",")))))</f>
        <v>alias_base VARCHAR(100),</v>
      </c>
    </row>
    <row r="11" customFormat="false" ht="13.8" hidden="false" customHeight="false" outlineLevel="0" collapsed="false">
      <c r="A11" s="3" t="s">
        <v>10</v>
      </c>
      <c r="C11" s="0" t="s">
        <v>11</v>
      </c>
      <c r="E11" s="0" t="str">
        <f aca="false">IF(ISBLANK(Table!A11),")ENGINE=Innodb;",IF(ISBLANK(Table!A12),CONCATENATE(Table!A11," ",Table!C11,IF(ISBLANK(Table!B11),"",CONCATENATE(",CONSTRAINT ",Table!B11," FOREIGN KEY(",Table!A11,") REFERENCES ",Table!D11,","))),CONCATENATE(Table!A11," ",Table!C11,IF(ISBLANK(Table!B11),",",CONCATENATE(",CONSTRAINT ",Table!B11," FOREIGN KEY(",Table!A11,") REFERENCES ",Table!D11,",")))))</f>
        <v>bid DECIMAL(65,8),</v>
      </c>
    </row>
    <row r="12" customFormat="false" ht="13.8" hidden="false" customHeight="false" outlineLevel="0" collapsed="false">
      <c r="A12" s="3" t="s">
        <v>12</v>
      </c>
      <c r="C12" s="0" t="s">
        <v>11</v>
      </c>
      <c r="E12" s="0" t="str">
        <f aca="false">IF(ISBLANK(Table!A12),")ENGINE=Innodb;",IF(ISBLANK(Table!A13),CONCATENATE(Table!A12," ",Table!C12,IF(ISBLANK(Table!B12),"",CONCATENATE(",CONSTRAINT ",Table!B12," FOREIGN KEY(",Table!A12,") REFERENCES ",Table!D12,","))),CONCATENATE(Table!A12," ",Table!C12,IF(ISBLANK(Table!B12),",",CONCATENATE(",CONSTRAINT ",Table!B12," FOREIGN KEY(",Table!A12,") REFERENCES ",Table!D12,",")))))</f>
        <v>ask DECIMAL(65,8),</v>
      </c>
    </row>
    <row r="13" customFormat="false" ht="13.8" hidden="false" customHeight="false" outlineLevel="0" collapsed="false">
      <c r="A13" s="3" t="s">
        <v>13</v>
      </c>
      <c r="C13" s="0" t="s">
        <v>11</v>
      </c>
      <c r="E13" s="0" t="str">
        <f aca="false">IF(ISBLANK(Table!A13),")ENGINE=Innodb;",IF(ISBLANK(Table!A14),CONCATENATE(Table!A13," ",Table!C13,IF(ISBLANK(Table!B13),"",CONCATENATE(",CONSTRAINT ",Table!B13," FOREIGN KEY(",Table!A13,") REFERENCES ",Table!D13,","))),CONCATENATE(Table!A13," ",Table!C13,IF(ISBLANK(Table!B13),",",CONCATENATE(",CONSTRAINT ",Table!B13," FOREIGN KEY(",Table!A13,") REFERENCES ",Table!D13,",")))))</f>
        <v>volume_btc DECIMAL(65,8),</v>
      </c>
    </row>
    <row r="14" customFormat="false" ht="13.8" hidden="false" customHeight="false" outlineLevel="0" collapsed="false">
      <c r="A14" s="3" t="s">
        <v>14</v>
      </c>
      <c r="C14" s="0" t="s">
        <v>11</v>
      </c>
      <c r="E14" s="0" t="str">
        <f aca="false">IF(ISBLANK(Table!A14),")ENGINE=Innodb;",IF(ISBLANK(Table!A15),CONCATENATE(Table!A14," ",Table!C14,IF(ISBLANK(Table!B14),"",CONCATENATE(",CONSTRAINT ",Table!B14," FOREIGN KEY(",Table!A14,") REFERENCES ",Table!D14,","))),CONCATENATE(Table!A14," ",Table!C14,IF(ISBLANK(Table!B14),",",CONCATENATE(",CONSTRAINT ",Table!B14," FOREIGN KEY(",Table!A14,") REFERENCES ",Table!D14,",")))))</f>
        <v>volume_alt DECIMAL(65,8),</v>
      </c>
    </row>
    <row r="15" customFormat="false" ht="13.8" hidden="false" customHeight="false" outlineLevel="0" collapsed="false">
      <c r="A15" s="3" t="s">
        <v>15</v>
      </c>
      <c r="C15" s="0" t="s">
        <v>16</v>
      </c>
      <c r="E15" s="0" t="str">
        <f aca="false">IF(ISBLANK(Table!A15),")ENGINE=Innodb;",IF(ISBLANK(Table!A16),CONCATENATE(Table!A15," ",Table!C15,IF(ISBLANK(Table!B15),"",CONCATENATE(",CONSTRAINT ",Table!B15," FOREIGN KEY(",Table!A15,") REFERENCES ",Table!D15,","))),CONCATENATE(Table!A15," ",Table!C15,IF(ISBLANK(Table!B15),",",CONCATENATE(",CONSTRAINT ",Table!B15," FOREIGN KEY(",Table!A15,") REFERENCES ",Table!D15,",")))))</f>
        <v>date_input DATETIME,</v>
      </c>
    </row>
    <row r="16" customFormat="false" ht="13.8" hidden="false" customHeight="false" outlineLevel="0" collapsed="false">
      <c r="A16" s="3" t="s">
        <v>17</v>
      </c>
      <c r="C16" s="0" t="s">
        <v>16</v>
      </c>
      <c r="E16" s="0" t="str">
        <f aca="false">IF(ISBLANK(Table!A16),")ENGINE=Innodb;",IF(ISBLANK(Table!A17),CONCATENATE(Table!A16," ",Table!C16,IF(ISBLANK(Table!B16),"",CONCATENATE(",CONSTRAINT ",Table!B16," FOREIGN KEY(",Table!A16,") REFERENCES ",Table!D16,","))),CONCATENATE(Table!A16," ",Table!C16,IF(ISBLANK(Table!B16),",",CONCATENATE(",CONSTRAINT ",Table!B16," FOREIGN KEY(",Table!A16,") REFERENCES ",Table!D16,",")))))</f>
        <v>date_update DATETIME,</v>
      </c>
    </row>
    <row r="17" customFormat="false" ht="13.8" hidden="false" customHeight="false" outlineLevel="0" collapsed="false">
      <c r="A17" s="3" t="s">
        <v>18</v>
      </c>
      <c r="C17" s="0" t="s">
        <v>19</v>
      </c>
      <c r="E17" s="0" t="str">
        <f aca="false">IF(ISBLANK(Table!A17),")ENGINE=Innodb;",IF(ISBLANK(Table!A18),CONCATENATE(Table!A17," ",Table!C17,IF(ISBLANK(Table!B17),"",CONCATENATE(",CONSTRAINT ",Table!B17," FOREIGN KEY(",Table!A17,") REFERENCES ",Table!D17,","))),CONCATENATE(Table!A17," ",Table!C17,IF(ISBLANK(Table!B17),",",CONCATENATE(",CONSTRAINT ",Table!B17," FOREIGN KEY(",Table!A17,") REFERENCES ",Table!D17,",")))))</f>
        <v>link VARCHAR(300),</v>
      </c>
    </row>
    <row r="18" customFormat="false" ht="13.8" hidden="false" customHeight="false" outlineLevel="0" collapsed="false">
      <c r="A18" s="3" t="s">
        <v>20</v>
      </c>
      <c r="C18" s="0" t="s">
        <v>21</v>
      </c>
      <c r="E18" s="0" t="str">
        <f aca="false">IF(ISBLANK(Table!A18),")ENGINE=Innodb;",IF(ISBLANK(Table!A19),CONCATENATE(Table!A18," ",Table!C18,IF(ISBLANK(Table!B18),"",CONCATENATE(",CONSTRAINT ",Table!B18," FOREIGN KEY(",Table!A18,") REFERENCES ",Table!D18,","))),CONCATENATE(Table!A18," ",Table!C18,IF(ISBLANK(Table!B18),",",CONCATENATE(",CONSTRAINT ",Table!B18," FOREIGN KEY(",Table!A18,") REFERENCES ",Table!D18,",")))))</f>
        <v>status CHAR(1),</v>
      </c>
    </row>
    <row r="19" customFormat="false" ht="13.8" hidden="false" customHeight="false" outlineLevel="0" collapsed="false">
      <c r="A19" s="3" t="s">
        <v>22</v>
      </c>
      <c r="C19" s="0" t="s">
        <v>16</v>
      </c>
      <c r="E19" s="0" t="str">
        <f aca="false">IF(ISBLANK(Table!A19),")ENGINE=Innodb;",IF(ISBLANK(Table!A20),CONCATENATE(Table!A19," ",Table!C19,IF(ISBLANK(Table!B19),"",CONCATENATE(",CONSTRAINT ",Table!B19," FOREIGN KEY(",Table!A19,") REFERENCES ",Table!D19,","))),CONCATENATE(Table!A19," ",Table!C19,IF(ISBLANK(Table!B19),",",CONCATENATE(",CONSTRAINT ",Table!B19," FOREIGN KEY(",Table!A19,") REFERENCES ",Table!D19,",")))))</f>
        <v>date_status DATETIME,</v>
      </c>
    </row>
    <row r="20" customFormat="false" ht="13.8" hidden="false" customHeight="false" outlineLevel="0" collapsed="false">
      <c r="A20" s="3" t="s">
        <v>23</v>
      </c>
      <c r="C20" s="0" t="s">
        <v>24</v>
      </c>
      <c r="E20" s="0" t="str">
        <f aca="false">IF(ISBLANK(Table!A20),")ENGINE=Innodb;",IF(ISBLANK(Table!A22),CONCATENATE(Table!A20," ",Table!C20,IF(ISBLANK(Table!B20),"",CONCATENATE(",CONSTRAINT ",Table!B20," FOREIGN KEY(",Table!A20,") REFERENCES ",Table!D20,","))),CONCATENATE(Table!A20," ",Table!C20,IF(ISBLANK(Table!B20),",",CONCATENATE(",CONSTRAINT ",Table!B20," FOREIGN KEY(",Table!A20,") REFERENCES ",Table!D20,",")))))</f>
        <v>ket_status INT(3)</v>
      </c>
    </row>
    <row r="21" customFormat="false" ht="13.8" hidden="false" customHeight="false" outlineLevel="0" collapsed="false">
      <c r="E21" s="0" t="str">
        <f aca="false">IF(ISBLANK(Table!A21),")ENGINE=Innodb;",IF(ISBLANK(Table!A23),CONCATENATE(Table!A21," ",Table!C21,IF(ISBLANK(Table!B21),"",CONCATENATE(",CONSTRAINT ",Table!B21," FOREIGN KEY(",Table!A21,") REFERENCES ",Table!D21,","))),CONCATENATE(Table!A21," ",Table!C21,IF(ISBLANK(Table!B21),",",CONCATENATE(",CONSTRAINT ",Table!B21," FOREIGN KEY(",Table!A21,") REFERENCES ",Table!D21,",")))))</f>
        <v>)ENGINE=Innodb;</v>
      </c>
    </row>
    <row r="25" customFormat="false" ht="13.8" hidden="false" customHeight="false" outlineLevel="0" collapsed="false">
      <c r="E25" s="0" t="str">
        <f aca="false">"DROP TABLE "&amp;Table!A26&amp;";"</f>
        <v>DROP TABLE exc_bittrex;</v>
      </c>
    </row>
    <row r="26" customFormat="false" ht="13.8" hidden="false" customHeight="false" outlineLevel="0" collapsed="false">
      <c r="A26" s="1" t="s">
        <v>25</v>
      </c>
      <c r="E26" s="0" t="str">
        <f aca="false">CONCATENATE("CREATE TABLE ",Table!A26,"(")</f>
        <v>CREATE TABLE exc_bittrex(</v>
      </c>
    </row>
    <row r="27" customFormat="false" ht="13.8" hidden="false" customHeight="false" outlineLevel="0" collapsed="false">
      <c r="A27" s="2" t="s">
        <v>1</v>
      </c>
      <c r="B27" s="0" t="str">
        <f aca="false">"pk_"&amp;Table!A27&amp;"_"&amp;Table!A26</f>
        <v>pk_id_exc_bittrex</v>
      </c>
      <c r="C27" s="0" t="s">
        <v>2</v>
      </c>
      <c r="E27" s="0" t="str">
        <f aca="false">IF(ISBLANK(Table!A27),")ENGINE=MyIsam;",IF(ISBLANK(#REF!),CONCATENATE(Table!A27," ",Table!C27,IF(ISBLANK(Table!B27),"",CONCATENATE(",CONSTRAINT ",Table!B27," PRIMARY KEY(",Table!A27,")",Table!D27,","))),CONCATENATE(Table!A27," ",Table!C27,IF(ISBLANK(Table!B27),",",CONCATENATE(",CONSTRAINT ",Table!B27," PRIMARY KEY(",Table!A27,")",Table!D27,",")))))</f>
        <v>id VARCHAR(50),CONSTRAINT pk_id_exc_bittrex PRIMARY KEY(id),</v>
      </c>
    </row>
    <row r="28" customFormat="false" ht="13.8" hidden="false" customHeight="false" outlineLevel="0" collapsed="false">
      <c r="A28" s="3" t="s">
        <v>3</v>
      </c>
      <c r="C28" s="0" t="s">
        <v>4</v>
      </c>
      <c r="E28" s="0" t="str">
        <f aca="false">IF(ISBLANK(Table!A28),")ENGINE=Innodb;",IF(ISBLANK(Table!A29),CONCATENATE(Table!A28," ",Table!C28,IF(ISBLANK(Table!B28),"",CONCATENATE(",CONSTRAINT ",Table!B28," FOREIGN KEY(",Table!A28,") REFERENCES ",Table!D28,","))),CONCATENATE(Table!A28," ",Table!C28,IF(ISBLANK(Table!B28),",",CONCATENATE(",CONSTRAINT ",Table!B28," FOREIGN KEY(",Table!A28,") REFERENCES ",Table!D28,",")))))</f>
        <v>aktif BOOLEAN,</v>
      </c>
    </row>
    <row r="29" customFormat="false" ht="13.8" hidden="false" customHeight="false" outlineLevel="0" collapsed="false">
      <c r="A29" s="3" t="s">
        <v>5</v>
      </c>
      <c r="C29" s="0" t="s">
        <v>2</v>
      </c>
      <c r="E29" s="0" t="str">
        <f aca="false">IF(ISBLANK(Table!A29),")ENGINE=Innodb;",IF(ISBLANK(Table!A30),CONCATENATE(Table!A29," ",Table!C29,IF(ISBLANK(Table!B29),"",CONCATENATE(",CONSTRAINT ",Table!B29," FOREIGN KEY(",Table!A29,") REFERENCES ",Table!D29,","))),CONCATENATE(Table!A29," ",Table!C29,IF(ISBLANK(Table!B29),",",CONCATENATE(",CONSTRAINT ",Table!B29," FOREIGN KEY(",Table!A29,") REFERENCES ",Table!D29,",")))))</f>
        <v>currency VARCHAR(50),</v>
      </c>
    </row>
    <row r="30" customFormat="false" ht="13.8" hidden="false" customHeight="false" outlineLevel="0" collapsed="false">
      <c r="A30" s="3" t="s">
        <v>6</v>
      </c>
      <c r="C30" s="0" t="s">
        <v>7</v>
      </c>
      <c r="E30" s="0" t="str">
        <f aca="false">IF(ISBLANK(Table!A30),")ENGINE=Innodb;",IF(ISBLANK(Table!A31),CONCATENATE(Table!A30," ",Table!C30,IF(ISBLANK(Table!B30),"",CONCATENATE(",CONSTRAINT ",Table!B30," FOREIGN KEY(",Table!A30,") REFERENCES ",Table!D30,","))),CONCATENATE(Table!A30," ",Table!C30,IF(ISBLANK(Table!B30),",",CONCATENATE(",CONSTRAINT ",Table!B30," FOREIGN KEY(",Table!A30,") REFERENCES ",Table!D30,",")))))</f>
        <v>alias_currency VARCHAR(100),</v>
      </c>
    </row>
    <row r="31" customFormat="false" ht="13.8" hidden="false" customHeight="false" outlineLevel="0" collapsed="false">
      <c r="A31" s="3" t="s">
        <v>8</v>
      </c>
      <c r="C31" s="0" t="s">
        <v>2</v>
      </c>
      <c r="E31" s="0" t="str">
        <f aca="false">IF(ISBLANK(Table!A31),")ENGINE=Innodb;",IF(ISBLANK(Table!A32),CONCATENATE(Table!A31," ",Table!C31,IF(ISBLANK(Table!B31),"",CONCATENATE(",CONSTRAINT ",Table!B31," FOREIGN KEY(",Table!A31,") REFERENCES ",Table!D31,","))),CONCATENATE(Table!A31," ",Table!C31,IF(ISBLANK(Table!B31),",",CONCATENATE(",CONSTRAINT ",Table!B31," FOREIGN KEY(",Table!A31,") REFERENCES ",Table!D31,",")))))</f>
        <v>base VARCHAR(50),</v>
      </c>
    </row>
    <row r="32" customFormat="false" ht="13.8" hidden="false" customHeight="false" outlineLevel="0" collapsed="false">
      <c r="A32" s="3" t="s">
        <v>9</v>
      </c>
      <c r="C32" s="0" t="s">
        <v>7</v>
      </c>
      <c r="E32" s="0" t="str">
        <f aca="false">IF(ISBLANK(Table!A32),")ENGINE=Innodb;",IF(ISBLANK(Table!A33),CONCATENATE(Table!A32," ",Table!C32,IF(ISBLANK(Table!B32),"",CONCATENATE(",CONSTRAINT ",Table!B32," FOREIGN KEY(",Table!A32,") REFERENCES ",Table!D32,","))),CONCATENATE(Table!A32," ",Table!C32,IF(ISBLANK(Table!B32),",",CONCATENATE(",CONSTRAINT ",Table!B32," FOREIGN KEY(",Table!A32,") REFERENCES ",Table!D32,",")))))</f>
        <v>alias_base VARCHAR(100),</v>
      </c>
    </row>
    <row r="33" customFormat="false" ht="13.8" hidden="false" customHeight="false" outlineLevel="0" collapsed="false">
      <c r="A33" s="3" t="s">
        <v>10</v>
      </c>
      <c r="C33" s="0" t="s">
        <v>11</v>
      </c>
      <c r="E33" s="0" t="str">
        <f aca="false">IF(ISBLANK(Table!A33),")ENGINE=Innodb;",IF(ISBLANK(Table!A34),CONCATENATE(Table!A33," ",Table!C33,IF(ISBLANK(Table!B33),"",CONCATENATE(",CONSTRAINT ",Table!B33," FOREIGN KEY(",Table!A33,") REFERENCES ",Table!D33,","))),CONCATENATE(Table!A33," ",Table!C33,IF(ISBLANK(Table!B33),",",CONCATENATE(",CONSTRAINT ",Table!B33," FOREIGN KEY(",Table!A33,") REFERENCES ",Table!D33,",")))))</f>
        <v>bid DECIMAL(65,8),</v>
      </c>
    </row>
    <row r="34" customFormat="false" ht="13.8" hidden="false" customHeight="false" outlineLevel="0" collapsed="false">
      <c r="A34" s="3" t="s">
        <v>12</v>
      </c>
      <c r="C34" s="0" t="s">
        <v>11</v>
      </c>
      <c r="E34" s="0" t="str">
        <f aca="false">IF(ISBLANK(Table!A34),")ENGINE=Innodb;",IF(ISBLANK(Table!A36),CONCATENATE(Table!A34," ",Table!C34,IF(ISBLANK(Table!B34),"",CONCATENATE(",CONSTRAINT ",Table!B34," FOREIGN KEY(",Table!A34,") REFERENCES ",Table!D34,","))),CONCATENATE(Table!A34," ",Table!C34,IF(ISBLANK(Table!B34),",",CONCATENATE(",CONSTRAINT ",Table!B34," FOREIGN KEY(",Table!A34,") REFERENCES ",Table!D34,",")))))</f>
        <v>ask DECIMAL(65,8),</v>
      </c>
    </row>
    <row r="35" customFormat="false" ht="13.8" hidden="false" customHeight="false" outlineLevel="0" collapsed="false">
      <c r="A35" s="3" t="s">
        <v>13</v>
      </c>
      <c r="C35" s="0" t="s">
        <v>11</v>
      </c>
      <c r="E35" s="0" t="str">
        <f aca="false">IF(ISBLANK(Table!A35),")ENGINE=Innodb;",IF(ISBLANK(Table!A36),CONCATENATE(Table!A35," ",Table!C35,IF(ISBLANK(Table!B35),"",CONCATENATE(",CONSTRAINT ",Table!B35," FOREIGN KEY(",Table!A35,") REFERENCES ",Table!D35,","))),CONCATENATE(Table!A35," ",Table!C35,IF(ISBLANK(Table!B35),",",CONCATENATE(",CONSTRAINT ",Table!B35," FOREIGN KEY(",Table!A35,") REFERENCES ",Table!D35,",")))))</f>
        <v>volume_btc DECIMAL(65,8),</v>
      </c>
    </row>
    <row r="36" customFormat="false" ht="13.8" hidden="false" customHeight="false" outlineLevel="0" collapsed="false">
      <c r="A36" s="3" t="s">
        <v>14</v>
      </c>
      <c r="C36" s="0" t="s">
        <v>11</v>
      </c>
      <c r="E36" s="0" t="str">
        <f aca="false">IF(ISBLANK(Table!A36),")ENGINE=Innodb;",IF(ISBLANK(Table!A37),CONCATENATE(Table!A36," ",Table!C36,IF(ISBLANK(Table!B36),"",CONCATENATE(",CONSTRAINT ",Table!B36," FOREIGN KEY(",Table!A36,") REFERENCES ",Table!D36,","))),CONCATENATE(Table!A36," ",Table!C36,IF(ISBLANK(Table!B36),",",CONCATENATE(",CONSTRAINT ",Table!B36," FOREIGN KEY(",Table!A36,") REFERENCES ",Table!D36,",")))))</f>
        <v>volume_alt DECIMAL(65,8),</v>
      </c>
    </row>
    <row r="37" customFormat="false" ht="13.8" hidden="false" customHeight="false" outlineLevel="0" collapsed="false">
      <c r="A37" s="3" t="s">
        <v>26</v>
      </c>
      <c r="C37" s="0" t="s">
        <v>27</v>
      </c>
      <c r="E37" s="0" t="str">
        <f aca="false">IF(ISBLANK(Table!A37),")ENGINE=Innodb;",IF(ISBLANK(Table!A38),CONCATENATE(Table!A37," ",Table!C37,IF(ISBLANK(Table!B37),"",CONCATENATE(",CONSTRAINT ",Table!B37," FOREIGN KEY(",Table!A37,") REFERENCES ",Table!D37,","))),CONCATENATE(Table!A37," ",Table!C37,IF(ISBLANK(Table!B37),",",CONCATENATE(",CONSTRAINT ",Table!B37," FOREIGN KEY(",Table!A37,") REFERENCES ",Table!D37,",")))))</f>
        <v>openbuyorder INT(10),</v>
      </c>
    </row>
    <row r="38" customFormat="false" ht="13.8" hidden="false" customHeight="false" outlineLevel="0" collapsed="false">
      <c r="A38" s="3" t="s">
        <v>28</v>
      </c>
      <c r="C38" s="0" t="s">
        <v>27</v>
      </c>
      <c r="E38" s="0" t="str">
        <f aca="false">IF(ISBLANK(Table!A38),")ENGINE=Innodb;",IF(ISBLANK(Table!A39),CONCATENATE(Table!A38," ",Table!C38,IF(ISBLANK(Table!B38),"",CONCATENATE(",CONSTRAINT ",Table!B38," FOREIGN KEY(",Table!A38,") REFERENCES ",Table!D38,","))),CONCATENATE(Table!A38," ",Table!C38,IF(ISBLANK(Table!B38),",",CONCATENATE(",CONSTRAINT ",Table!B38," FOREIGN KEY(",Table!A38,") REFERENCES ",Table!D38,",")))))</f>
        <v>opensellorder INT(10),</v>
      </c>
    </row>
    <row r="39" customFormat="false" ht="13.8" hidden="false" customHeight="false" outlineLevel="0" collapsed="false">
      <c r="A39" s="3" t="s">
        <v>15</v>
      </c>
      <c r="C39" s="0" t="s">
        <v>16</v>
      </c>
      <c r="E39" s="0" t="str">
        <f aca="false">IF(ISBLANK(Table!A39),")ENGINE=Innodb;",IF(ISBLANK(Table!A40),CONCATENATE(Table!A39," ",Table!C39,IF(ISBLANK(Table!B39),"",CONCATENATE(",CONSTRAINT ",Table!B39," FOREIGN KEY(",Table!A39,") REFERENCES ",Table!D39,","))),CONCATENATE(Table!A39," ",Table!C39,IF(ISBLANK(Table!B39),",",CONCATENATE(",CONSTRAINT ",Table!B39," FOREIGN KEY(",Table!A39,") REFERENCES ",Table!D39,",")))))</f>
        <v>date_input DATETIME,</v>
      </c>
    </row>
    <row r="40" customFormat="false" ht="13.8" hidden="false" customHeight="false" outlineLevel="0" collapsed="false">
      <c r="A40" s="3" t="s">
        <v>17</v>
      </c>
      <c r="C40" s="0" t="s">
        <v>16</v>
      </c>
      <c r="E40" s="0" t="str">
        <f aca="false">IF(ISBLANK(Table!A40),")ENGINE=Innodb;",IF(ISBLANK(Table!A41),CONCATENATE(Table!A40," ",Table!C40,IF(ISBLANK(Table!B40),"",CONCATENATE(",CONSTRAINT ",Table!B40," FOREIGN KEY(",Table!A40,") REFERENCES ",Table!D40,","))),CONCATENATE(Table!A40," ",Table!C40,IF(ISBLANK(Table!B40),",",CONCATENATE(",CONSTRAINT ",Table!B40," FOREIGN KEY(",Table!A40,") REFERENCES ",Table!D40,",")))))</f>
        <v>date_update DATETIME,</v>
      </c>
    </row>
    <row r="41" customFormat="false" ht="13.8" hidden="false" customHeight="false" outlineLevel="0" collapsed="false">
      <c r="A41" s="3" t="s">
        <v>18</v>
      </c>
      <c r="C41" s="0" t="s">
        <v>19</v>
      </c>
      <c r="E41" s="0" t="str">
        <f aca="false">IF(ISBLANK(Table!A41),")ENGINE=Innodb;",IF(ISBLANK(Table!A42),CONCATENATE(Table!A41," ",Table!C41,IF(ISBLANK(Table!B41),"",CONCATENATE(",CONSTRAINT ",Table!B41," FOREIGN KEY(",Table!A41,") REFERENCES ",Table!D41,","))),CONCATENATE(Table!A41," ",Table!C41,IF(ISBLANK(Table!B41),",",CONCATENATE(",CONSTRAINT ",Table!B41," FOREIGN KEY(",Table!A41,") REFERENCES ",Table!D41,",")))))</f>
        <v>link VARCHAR(300),</v>
      </c>
    </row>
    <row r="42" customFormat="false" ht="13.8" hidden="false" customHeight="false" outlineLevel="0" collapsed="false">
      <c r="A42" s="3" t="s">
        <v>20</v>
      </c>
      <c r="C42" s="0" t="s">
        <v>21</v>
      </c>
      <c r="E42" s="0" t="str">
        <f aca="false">IF(ISBLANK(Table!A42),")ENGINE=Innodb;",IF(ISBLANK(Table!A43),CONCATENATE(Table!A42," ",Table!C42,IF(ISBLANK(Table!B42),"",CONCATENATE(",CONSTRAINT ",Table!B42," FOREIGN KEY(",Table!A42,") REFERENCES ",Table!D42,","))),CONCATENATE(Table!A42," ",Table!C42,IF(ISBLANK(Table!B42),",",CONCATENATE(",CONSTRAINT ",Table!B42," FOREIGN KEY(",Table!A42,") REFERENCES ",Table!D42,",")))))</f>
        <v>status CHAR(1),</v>
      </c>
    </row>
    <row r="43" customFormat="false" ht="13.8" hidden="false" customHeight="false" outlineLevel="0" collapsed="false">
      <c r="A43" s="3" t="s">
        <v>22</v>
      </c>
      <c r="C43" s="0" t="s">
        <v>16</v>
      </c>
      <c r="E43" s="0" t="str">
        <f aca="false">IF(ISBLANK(Table!A43),")ENGINE=Innodb;",IF(ISBLANK(Table!A44),CONCATENATE(Table!A43," ",Table!C43,IF(ISBLANK(Table!B43),"",CONCATENATE(",CONSTRAINT ",Table!B43," FOREIGN KEY(",Table!A43,") REFERENCES ",Table!D43,","))),CONCATENATE(Table!A43," ",Table!C43,IF(ISBLANK(Table!B43),",",CONCATENATE(",CONSTRAINT ",Table!B43," FOREIGN KEY(",Table!A43,") REFERENCES ",Table!D43,",")))))</f>
        <v>date_status DATETIME,</v>
      </c>
    </row>
    <row r="44" customFormat="false" ht="13.8" hidden="false" customHeight="false" outlineLevel="0" collapsed="false">
      <c r="A44" s="3" t="s">
        <v>23</v>
      </c>
      <c r="C44" s="0" t="s">
        <v>24</v>
      </c>
      <c r="E44" s="0" t="str">
        <f aca="false">IF(ISBLANK(Table!A44),")ENGINE=Innodb;",IF(ISBLANK(Table!A46),CONCATENATE(Table!A44," ",Table!C44,IF(ISBLANK(Table!B44),"",CONCATENATE(",CONSTRAINT ",Table!B44," FOREIGN KEY(",Table!A44,") REFERENCES ",Table!D44,","))),CONCATENATE(Table!A44," ",Table!C44,IF(ISBLANK(Table!B44),",",CONCATENATE(",CONSTRAINT ",Table!B44," FOREIGN KEY(",Table!A44,") REFERENCES ",Table!D44,",")))))</f>
        <v>ket_status INT(3)</v>
      </c>
    </row>
    <row r="45" customFormat="false" ht="13.8" hidden="false" customHeight="false" outlineLevel="0" collapsed="false">
      <c r="E45" s="0" t="str">
        <f aca="false">IF(ISBLANK(Table!A45),")ENGINE=Innodb;",IF(ISBLANK(Table!A47),CONCATENATE(Table!A45," ",Table!C45,IF(ISBLANK(Table!B45),"",CONCATENATE(",CONSTRAINT ",Table!B45," FOREIGN KEY(",Table!A45,") REFERENCES ",Table!D45,","))),CONCATENATE(Table!A45," ",Table!C45,IF(ISBLANK(Table!B45),",",CONCATENATE(",CONSTRAINT ",Table!B45," FOREIGN KEY(",Table!A45,") REFERENCES ",Table!D45,",")))))</f>
        <v>)ENGINE=Innodb;</v>
      </c>
    </row>
    <row r="48" customFormat="false" ht="13.8" hidden="false" customHeight="false" outlineLevel="0" collapsed="false">
      <c r="E48" s="0" t="str">
        <f aca="false">"DROP TABLE "&amp;Table!A49&amp;";"</f>
        <v>DROP TABLE exc_ccex;</v>
      </c>
    </row>
    <row r="49" customFormat="false" ht="13.8" hidden="false" customHeight="false" outlineLevel="0" collapsed="false">
      <c r="A49" s="1" t="s">
        <v>29</v>
      </c>
      <c r="E49" s="0" t="str">
        <f aca="false">CONCATENATE("CREATE TABLE ",Table!A49,"(")</f>
        <v>CREATE TABLE exc_ccex(</v>
      </c>
    </row>
    <row r="50" customFormat="false" ht="13.8" hidden="false" customHeight="false" outlineLevel="0" collapsed="false">
      <c r="A50" s="2" t="s">
        <v>1</v>
      </c>
      <c r="B50" s="0" t="str">
        <f aca="false">"pk_"&amp;Table!A50&amp;"_"&amp;Table!A49</f>
        <v>pk_id_exc_ccex</v>
      </c>
      <c r="C50" s="0" t="s">
        <v>2</v>
      </c>
      <c r="E50" s="0" t="str">
        <f aca="false">IF(ISBLANK(Table!A50),")ENGINE=MyIsam;",IF(ISBLANK(#REF!),CONCATENATE(Table!A50," ",Table!C50,IF(ISBLANK(Table!B50),"",CONCATENATE(",CONSTRAINT ",Table!B50," PRIMARY KEY(",Table!A50,")",Table!D50,","))),CONCATENATE(Table!A50," ",Table!C50,IF(ISBLANK(Table!B50),",",CONCATENATE(",CONSTRAINT ",Table!B50," PRIMARY KEY(",Table!A50,")",Table!D50,",")))))</f>
        <v>id VARCHAR(50),CONSTRAINT pk_id_exc_ccex PRIMARY KEY(id),</v>
      </c>
    </row>
    <row r="51" customFormat="false" ht="13.8" hidden="false" customHeight="false" outlineLevel="0" collapsed="false">
      <c r="A51" s="3" t="s">
        <v>3</v>
      </c>
      <c r="C51" s="0" t="s">
        <v>4</v>
      </c>
      <c r="E51" s="0" t="str">
        <f aca="false">IF(ISBLANK(Table!A51),")ENGINE=MyIsam;",IF(ISBLANK(#REF!),CONCATENATE(Table!A51," ",Table!C51,IF(ISBLANK(Table!B51),"",CONCATENATE(",CONSTRAINT ",Table!B51," PRIMARY KEY(",Table!A51,")",Table!D51,","))),CONCATENATE(Table!A51," ",Table!C51,IF(ISBLANK(Table!B51),",",CONCATENATE(",CONSTRAINT ",Table!B51," PRIMARY KEY(",Table!A51,")",Table!D51,",")))))</f>
        <v>aktif BOOLEAN,</v>
      </c>
    </row>
    <row r="52" customFormat="false" ht="13.8" hidden="false" customHeight="false" outlineLevel="0" collapsed="false">
      <c r="A52" s="3" t="s">
        <v>5</v>
      </c>
      <c r="C52" s="0" t="s">
        <v>2</v>
      </c>
      <c r="E52" s="0" t="str">
        <f aca="false">IF(ISBLANK(Table!A52),")ENGINE=Innodb;",IF(ISBLANK(Table!A53),CONCATENATE(Table!A52," ",Table!C52,IF(ISBLANK(Table!B52),"",CONCATENATE(",CONSTRAINT ",Table!B52," FOREIGN KEY(",Table!A52,") REFERENCES ",Table!D52,","))),CONCATENATE(Table!A52," ",Table!C52,IF(ISBLANK(Table!B52),",",CONCATENATE(",CONSTRAINT ",Table!B52," FOREIGN KEY(",Table!A52,") REFERENCES ",Table!D52,",")))))</f>
        <v>currency VARCHAR(50),</v>
      </c>
    </row>
    <row r="53" customFormat="false" ht="13.8" hidden="false" customHeight="false" outlineLevel="0" collapsed="false">
      <c r="A53" s="3" t="s">
        <v>6</v>
      </c>
      <c r="C53" s="0" t="s">
        <v>7</v>
      </c>
      <c r="E53" s="0" t="str">
        <f aca="false">IF(ISBLANK(Table!A53),")ENGINE=Innodb;",IF(ISBLANK(Table!A54),CONCATENATE(Table!A53," ",Table!C53,IF(ISBLANK(Table!B53),"",CONCATENATE(",CONSTRAINT ",Table!B53," FOREIGN KEY(",Table!A53,") REFERENCES ",Table!D53,","))),CONCATENATE(Table!A53," ",Table!C53,IF(ISBLANK(Table!B53),",",CONCATENATE(",CONSTRAINT ",Table!B53," FOREIGN KEY(",Table!A53,") REFERENCES ",Table!D53,",")))))</f>
        <v>alias_currency VARCHAR(100),</v>
      </c>
    </row>
    <row r="54" customFormat="false" ht="13.8" hidden="false" customHeight="false" outlineLevel="0" collapsed="false">
      <c r="A54" s="3" t="s">
        <v>8</v>
      </c>
      <c r="C54" s="0" t="s">
        <v>2</v>
      </c>
      <c r="E54" s="0" t="str">
        <f aca="false">IF(ISBLANK(Table!A54),")ENGINE=Innodb;",IF(ISBLANK(Table!A55),CONCATENATE(Table!A54," ",Table!C54,IF(ISBLANK(Table!B54),"",CONCATENATE(",CONSTRAINT ",Table!B54," FOREIGN KEY(",Table!A54,") REFERENCES ",Table!D54,","))),CONCATENATE(Table!A54," ",Table!C54,IF(ISBLANK(Table!B54),",",CONCATENATE(",CONSTRAINT ",Table!B54," FOREIGN KEY(",Table!A54,") REFERENCES ",Table!D54,",")))))</f>
        <v>base VARCHAR(50),</v>
      </c>
    </row>
    <row r="55" customFormat="false" ht="13.8" hidden="false" customHeight="false" outlineLevel="0" collapsed="false">
      <c r="A55" s="3" t="s">
        <v>9</v>
      </c>
      <c r="C55" s="0" t="s">
        <v>7</v>
      </c>
      <c r="E55" s="0" t="str">
        <f aca="false">IF(ISBLANK(Table!A55),")ENGINE=Innodb;",IF(ISBLANK(Table!A56),CONCATENATE(Table!A55," ",Table!C55,IF(ISBLANK(Table!B55),"",CONCATENATE(",CONSTRAINT ",Table!B55," FOREIGN KEY(",Table!A55,") REFERENCES ",Table!D55,","))),CONCATENATE(Table!A55," ",Table!C55,IF(ISBLANK(Table!B55),",",CONCATENATE(",CONSTRAINT ",Table!B55," FOREIGN KEY(",Table!A55,") REFERENCES ",Table!D55,",")))))</f>
        <v>alias_base VARCHAR(100),</v>
      </c>
    </row>
    <row r="56" customFormat="false" ht="13.8" hidden="false" customHeight="false" outlineLevel="0" collapsed="false">
      <c r="A56" s="3" t="s">
        <v>10</v>
      </c>
      <c r="C56" s="0" t="s">
        <v>11</v>
      </c>
      <c r="E56" s="0" t="str">
        <f aca="false">IF(ISBLANK(Table!A56),")ENGINE=Innodb;",IF(ISBLANK(Table!A57),CONCATENATE(Table!A56," ",Table!C56,IF(ISBLANK(Table!B56),"",CONCATENATE(",CONSTRAINT ",Table!B56," FOREIGN KEY(",Table!A56,") REFERENCES ",Table!D56,","))),CONCATENATE(Table!A56," ",Table!C56,IF(ISBLANK(Table!B56),",",CONCATENATE(",CONSTRAINT ",Table!B56," FOREIGN KEY(",Table!A56,") REFERENCES ",Table!D56,",")))))</f>
        <v>bid DECIMAL(65,8),</v>
      </c>
    </row>
    <row r="57" customFormat="false" ht="13.8" hidden="false" customHeight="false" outlineLevel="0" collapsed="false">
      <c r="A57" s="3" t="s">
        <v>12</v>
      </c>
      <c r="C57" s="0" t="s">
        <v>11</v>
      </c>
      <c r="E57" s="0" t="str">
        <f aca="false">IF(ISBLANK(Table!A57),")ENGINE=Innodb;",IF(ISBLANK(Table!A58),CONCATENATE(Table!A57," ",Table!C57,IF(ISBLANK(Table!B57),"",CONCATENATE(",CONSTRAINT ",Table!B57," FOREIGN KEY(",Table!A57,") REFERENCES ",Table!D57,","))),CONCATENATE(Table!A57," ",Table!C57,IF(ISBLANK(Table!B57),",",CONCATENATE(",CONSTRAINT ",Table!B57," FOREIGN KEY(",Table!A57,") REFERENCES ",Table!D57,",")))))</f>
        <v>ask DECIMAL(65,8),</v>
      </c>
    </row>
    <row r="58" customFormat="false" ht="13.8" hidden="false" customHeight="false" outlineLevel="0" collapsed="false">
      <c r="A58" s="3" t="s">
        <v>13</v>
      </c>
      <c r="C58" s="0" t="s">
        <v>11</v>
      </c>
      <c r="E58" s="0" t="str">
        <f aca="false">IF(ISBLANK(Table!A58),")ENGINE=Innodb;",IF(ISBLANK(Table!A59),CONCATENATE(Table!A58," ",Table!C58,IF(ISBLANK(Table!B58),"",CONCATENATE(",CONSTRAINT ",Table!B58," FOREIGN KEY(",Table!A58,") REFERENCES ",Table!D58,","))),CONCATENATE(Table!A58," ",Table!C58,IF(ISBLANK(Table!B58),",",CONCATENATE(",CONSTRAINT ",Table!B58," FOREIGN KEY(",Table!A58,") REFERENCES ",Table!D58,",")))))</f>
        <v>volume_btc DECIMAL(65,8),</v>
      </c>
    </row>
    <row r="59" customFormat="false" ht="13.8" hidden="false" customHeight="false" outlineLevel="0" collapsed="false">
      <c r="A59" s="3" t="s">
        <v>14</v>
      </c>
      <c r="C59" s="0" t="s">
        <v>11</v>
      </c>
      <c r="E59" s="0" t="str">
        <f aca="false">IF(ISBLANK(Table!A59),")ENGINE=Innodb;",IF(ISBLANK(Table!A60),CONCATENATE(Table!A59," ",Table!C59,IF(ISBLANK(Table!B59),"",CONCATENATE(",CONSTRAINT ",Table!B59," FOREIGN KEY(",Table!A59,") REFERENCES ",Table!D59,","))),CONCATENATE(Table!A59," ",Table!C59,IF(ISBLANK(Table!B59),",",CONCATENATE(",CONSTRAINT ",Table!B59," FOREIGN KEY(",Table!A59,") REFERENCES ",Table!D59,",")))))</f>
        <v>volume_alt DECIMAL(65,8),</v>
      </c>
    </row>
    <row r="60" customFormat="false" ht="13.8" hidden="false" customHeight="false" outlineLevel="0" collapsed="false">
      <c r="A60" s="3" t="s">
        <v>26</v>
      </c>
      <c r="C60" s="0" t="s">
        <v>27</v>
      </c>
      <c r="E60" s="0" t="str">
        <f aca="false">IF(ISBLANK(Table!A60),")ENGINE=Innodb;",IF(ISBLANK(Table!A61),CONCATENATE(Table!A60," ",Table!C60,IF(ISBLANK(Table!B60),"",CONCATENATE(",CONSTRAINT ",Table!B60," FOREIGN KEY(",Table!A60,") REFERENCES ",Table!D60,","))),CONCATENATE(Table!A60," ",Table!C60,IF(ISBLANK(Table!B60),",",CONCATENATE(",CONSTRAINT ",Table!B60," FOREIGN KEY(",Table!A60,") REFERENCES ",Table!D60,",")))))</f>
        <v>openbuyorder INT(10),</v>
      </c>
    </row>
    <row r="61" customFormat="false" ht="13.8" hidden="false" customHeight="false" outlineLevel="0" collapsed="false">
      <c r="A61" s="3" t="s">
        <v>28</v>
      </c>
      <c r="C61" s="0" t="s">
        <v>27</v>
      </c>
      <c r="E61" s="0" t="str">
        <f aca="false">IF(ISBLANK(Table!A61),")ENGINE=Innodb;",IF(ISBLANK(Table!A62),CONCATENATE(Table!A61," ",Table!C61,IF(ISBLANK(Table!B61),"",CONCATENATE(",CONSTRAINT ",Table!B61," FOREIGN KEY(",Table!A61,") REFERENCES ",Table!D61,","))),CONCATENATE(Table!A61," ",Table!C61,IF(ISBLANK(Table!B61),",",CONCATENATE(",CONSTRAINT ",Table!B61," FOREIGN KEY(",Table!A61,") REFERENCES ",Table!D61,",")))))</f>
        <v>opensellorder INT(10),</v>
      </c>
    </row>
    <row r="62" customFormat="false" ht="13.8" hidden="false" customHeight="false" outlineLevel="0" collapsed="false">
      <c r="A62" s="3" t="s">
        <v>15</v>
      </c>
      <c r="C62" s="0" t="s">
        <v>16</v>
      </c>
      <c r="E62" s="0" t="str">
        <f aca="false">IF(ISBLANK(Table!A62),")ENGINE=Innodb;",IF(ISBLANK(Table!A63),CONCATENATE(Table!A62," ",Table!C62,IF(ISBLANK(Table!B62),"",CONCATENATE(",CONSTRAINT ",Table!B62," FOREIGN KEY(",Table!A62,") REFERENCES ",Table!D62,","))),CONCATENATE(Table!A62," ",Table!C62,IF(ISBLANK(Table!B62),",",CONCATENATE(",CONSTRAINT ",Table!B62," FOREIGN KEY(",Table!A62,") REFERENCES ",Table!D62,",")))))</f>
        <v>date_input DATETIME,</v>
      </c>
    </row>
    <row r="63" customFormat="false" ht="13.8" hidden="false" customHeight="false" outlineLevel="0" collapsed="false">
      <c r="A63" s="3" t="s">
        <v>17</v>
      </c>
      <c r="C63" s="0" t="s">
        <v>16</v>
      </c>
      <c r="E63" s="0" t="str">
        <f aca="false">IF(ISBLANK(Table!A63),")ENGINE=Innodb;",IF(ISBLANK(Table!A64),CONCATENATE(Table!A63," ",Table!C63,IF(ISBLANK(Table!B63),"",CONCATENATE(",CONSTRAINT ",Table!B63," FOREIGN KEY(",Table!A63,") REFERENCES ",Table!D63,","))),CONCATENATE(Table!A63," ",Table!C63,IF(ISBLANK(Table!B63),",",CONCATENATE(",CONSTRAINT ",Table!B63," FOREIGN KEY(",Table!A63,") REFERENCES ",Table!D63,",")))))</f>
        <v>date_update DATETIME,</v>
      </c>
    </row>
    <row r="64" customFormat="false" ht="13.8" hidden="false" customHeight="false" outlineLevel="0" collapsed="false">
      <c r="A64" s="3" t="s">
        <v>18</v>
      </c>
      <c r="C64" s="0" t="s">
        <v>19</v>
      </c>
      <c r="E64" s="0" t="str">
        <f aca="false">IF(ISBLANK(Table!A64),")ENGINE=Innodb;",IF(ISBLANK(Table!A65),CONCATENATE(Table!A64," ",Table!C64,IF(ISBLANK(Table!B64),"",CONCATENATE(",CONSTRAINT ",Table!B64," FOREIGN KEY(",Table!A64,") REFERENCES ",Table!D64,","))),CONCATENATE(Table!A64," ",Table!C64,IF(ISBLANK(Table!B64),",",CONCATENATE(",CONSTRAINT ",Table!B64," FOREIGN KEY(",Table!A64,") REFERENCES ",Table!D64,",")))))</f>
        <v>link VARCHAR(300),</v>
      </c>
    </row>
    <row r="65" customFormat="false" ht="13.8" hidden="false" customHeight="false" outlineLevel="0" collapsed="false">
      <c r="A65" s="3" t="s">
        <v>20</v>
      </c>
      <c r="C65" s="0" t="s">
        <v>21</v>
      </c>
      <c r="E65" s="0" t="str">
        <f aca="false">IF(ISBLANK(Table!A65),")ENGINE=Innodb;",IF(ISBLANK(Table!A66),CONCATENATE(Table!A65," ",Table!C65,IF(ISBLANK(Table!B65),"",CONCATENATE(",CONSTRAINT ",Table!B65," FOREIGN KEY(",Table!A65,") REFERENCES ",Table!D65,","))),CONCATENATE(Table!A65," ",Table!C65,IF(ISBLANK(Table!B65),",",CONCATENATE(",CONSTRAINT ",Table!B65," FOREIGN KEY(",Table!A65,") REFERENCES ",Table!D65,",")))))</f>
        <v>status CHAR(1),</v>
      </c>
    </row>
    <row r="66" customFormat="false" ht="13.8" hidden="false" customHeight="false" outlineLevel="0" collapsed="false">
      <c r="A66" s="3" t="s">
        <v>22</v>
      </c>
      <c r="C66" s="0" t="s">
        <v>16</v>
      </c>
      <c r="E66" s="0" t="s">
        <v>30</v>
      </c>
    </row>
    <row r="67" customFormat="false" ht="13.8" hidden="false" customHeight="false" outlineLevel="0" collapsed="false">
      <c r="A67" s="3" t="s">
        <v>23</v>
      </c>
      <c r="C67" s="0" t="s">
        <v>24</v>
      </c>
      <c r="E67" s="0" t="str">
        <f aca="false">IF(ISBLANK(Table!A67),")ENGINE=Innodb;",IF(ISBLANK(Table!A69),CONCATENATE(Table!A67," ",Table!C67,IF(ISBLANK(Table!B67),"",CONCATENATE(",CONSTRAINT ",Table!B67," FOREIGN KEY(",Table!A67,") REFERENCES ",Table!D67,","))),CONCATENATE(Table!A67," ",Table!C67,IF(ISBLANK(Table!B67),",",CONCATENATE(",CONSTRAINT ",Table!B67," FOREIGN KEY(",Table!A67,") REFERENCES ",Table!D67,",")))))</f>
        <v>ket_status INT(3)</v>
      </c>
    </row>
    <row r="68" customFormat="false" ht="13.8" hidden="false" customHeight="false" outlineLevel="0" collapsed="false">
      <c r="E68" s="0" t="str">
        <f aca="false">IF(ISBLANK(Table!A68),")ENGINE=Innodb;",IF(ISBLANK(Table!A70),CONCATENATE(Table!A68," ",Table!C68,IF(ISBLANK(Table!B68),"",CONCATENATE(",CONSTRAINT ",Table!B68," FOREIGN KEY(",Table!A68,") REFERENCES ",Table!D68,","))),CONCATENATE(Table!A68," ",Table!C68,IF(ISBLANK(Table!B68),",",CONCATENATE(",CONSTRAINT ",Table!B68," FOREIGN KEY(",Table!A68,") REFERENCES ",Table!D68,",")))))</f>
        <v>)ENGINE=Innodb;</v>
      </c>
    </row>
    <row r="72" customFormat="false" ht="13.8" hidden="false" customHeight="false" outlineLevel="0" collapsed="false">
      <c r="E72" s="0" t="str">
        <f aca="false">"DROP TABLE "&amp;Table!A73&amp;";"</f>
        <v>DROP TABLE exc_yobit;</v>
      </c>
    </row>
    <row r="73" customFormat="false" ht="13.8" hidden="false" customHeight="false" outlineLevel="0" collapsed="false">
      <c r="A73" s="1" t="s">
        <v>31</v>
      </c>
      <c r="E73" s="0" t="str">
        <f aca="false">CONCATENATE("CREATE TABLE ",Table!A73,"(")</f>
        <v>CREATE TABLE exc_yobit(</v>
      </c>
    </row>
    <row r="74" customFormat="false" ht="13.8" hidden="false" customHeight="false" outlineLevel="0" collapsed="false">
      <c r="A74" s="2" t="s">
        <v>1</v>
      </c>
      <c r="B74" s="0" t="str">
        <f aca="false">"pk_"&amp;Table!A74&amp;"_"&amp;Table!A73</f>
        <v>pk_id_exc_yobit</v>
      </c>
      <c r="C74" s="0" t="s">
        <v>2</v>
      </c>
      <c r="E74" s="0" t="str">
        <f aca="false">IF(ISBLANK(Table!A74),")ENGINE=MyIsam;",IF(ISBLANK(#REF!),CONCATENATE(Table!A74," ",Table!C74,IF(ISBLANK(Table!B74),"",CONCATENATE(",CONSTRAINT ",Table!B74," PRIMARY KEY(",Table!A74,")",Table!D74,","))),CONCATENATE(Table!A74," ",Table!C74,IF(ISBLANK(Table!B74),",",CONCATENATE(",CONSTRAINT ",Table!B74," PRIMARY KEY(",Table!A74,")",Table!D74,",")))))</f>
        <v>id VARCHAR(50),CONSTRAINT pk_id_exc_yobit PRIMARY KEY(id),</v>
      </c>
    </row>
    <row r="75" customFormat="false" ht="13.8" hidden="false" customHeight="false" outlineLevel="0" collapsed="false">
      <c r="A75" s="3" t="s">
        <v>5</v>
      </c>
      <c r="C75" s="0" t="s">
        <v>2</v>
      </c>
      <c r="E75" s="0" t="str">
        <f aca="false">IF(ISBLANK(Table!A75),")ENGINE=Innodb;",IF(ISBLANK(Table!A76),CONCATENATE(Table!A75," ",Table!C75,IF(ISBLANK(Table!B75),"",CONCATENATE(",CONSTRAINT ",Table!B75," FOREIGN KEY(",Table!A75,") REFERENCES ",Table!D75,","))),CONCATENATE(Table!A75," ",Table!C75,IF(ISBLANK(Table!B75),",",CONCATENATE(",CONSTRAINT ",Table!B75," FOREIGN KEY(",Table!A75,") REFERENCES ",Table!D75,",")))))</f>
        <v>currency VARCHAR(50),</v>
      </c>
    </row>
    <row r="76" customFormat="false" ht="13.8" hidden="false" customHeight="false" outlineLevel="0" collapsed="false">
      <c r="A76" s="3" t="s">
        <v>6</v>
      </c>
      <c r="C76" s="0" t="s">
        <v>7</v>
      </c>
      <c r="E76" s="0" t="str">
        <f aca="false">IF(ISBLANK(Table!A76),")ENGINE=Innodb;",IF(ISBLANK(Table!A77),CONCATENATE(Table!A76," ",Table!C76,IF(ISBLANK(Table!B76),"",CONCATENATE(",CONSTRAINT ",Table!B76," FOREIGN KEY(",Table!A76,") REFERENCES ",Table!D76,","))),CONCATENATE(Table!A76," ",Table!C76,IF(ISBLANK(Table!B76),",",CONCATENATE(",CONSTRAINT ",Table!B76," FOREIGN KEY(",Table!A76,") REFERENCES ",Table!D76,",")))))</f>
        <v>alias_currency VARCHAR(100),</v>
      </c>
    </row>
    <row r="77" customFormat="false" ht="13.8" hidden="false" customHeight="false" outlineLevel="0" collapsed="false">
      <c r="A77" s="3" t="s">
        <v>8</v>
      </c>
      <c r="C77" s="0" t="s">
        <v>2</v>
      </c>
      <c r="E77" s="0" t="str">
        <f aca="false">IF(ISBLANK(Table!A77),")ENGINE=Innodb;",IF(ISBLANK(Table!A78),CONCATENATE(Table!A77," ",Table!C77,IF(ISBLANK(Table!B77),"",CONCATENATE(",CONSTRAINT ",Table!B77," FOREIGN KEY(",Table!A77,") REFERENCES ",Table!D77,","))),CONCATENATE(Table!A77," ",Table!C77,IF(ISBLANK(Table!B77),",",CONCATENATE(",CONSTRAINT ",Table!B77," FOREIGN KEY(",Table!A77,") REFERENCES ",Table!D77,",")))))</f>
        <v>base VARCHAR(50),</v>
      </c>
    </row>
    <row r="78" customFormat="false" ht="13.8" hidden="false" customHeight="false" outlineLevel="0" collapsed="false">
      <c r="A78" s="3" t="s">
        <v>9</v>
      </c>
      <c r="C78" s="0" t="s">
        <v>7</v>
      </c>
      <c r="E78" s="0" t="str">
        <f aca="false">IF(ISBLANK(Table!A78),")ENGINE=Innodb;",IF(ISBLANK(Table!A79),CONCATENATE(Table!A78," ",Table!C78,IF(ISBLANK(Table!B78),"",CONCATENATE(",CONSTRAINT ",Table!B78," FOREIGN KEY(",Table!A78,") REFERENCES ",Table!D78,","))),CONCATENATE(Table!A78," ",Table!C78,IF(ISBLANK(Table!B78),",",CONCATENATE(",CONSTRAINT ",Table!B78," FOREIGN KEY(",Table!A78,") REFERENCES ",Table!D78,",")))))</f>
        <v>alias_base VARCHAR(100),</v>
      </c>
    </row>
    <row r="79" customFormat="false" ht="13.8" hidden="false" customHeight="false" outlineLevel="0" collapsed="false">
      <c r="A79" s="3" t="s">
        <v>10</v>
      </c>
      <c r="C79" s="0" t="s">
        <v>11</v>
      </c>
      <c r="E79" s="0" t="str">
        <f aca="false">IF(ISBLANK(Table!A79),")ENGINE=Innodb;",IF(ISBLANK(Table!A80),CONCATENATE(Table!A79," ",Table!C79,IF(ISBLANK(Table!B79),"",CONCATENATE(",CONSTRAINT ",Table!B79," FOREIGN KEY(",Table!A79,") REFERENCES ",Table!D79,","))),CONCATENATE(Table!A79," ",Table!C79,IF(ISBLANK(Table!B79),",",CONCATENATE(",CONSTRAINT ",Table!B79," FOREIGN KEY(",Table!A79,") REFERENCES ",Table!D79,",")))))</f>
        <v>bid DECIMAL(65,8),</v>
      </c>
    </row>
    <row r="80" customFormat="false" ht="13.8" hidden="false" customHeight="false" outlineLevel="0" collapsed="false">
      <c r="A80" s="3" t="s">
        <v>12</v>
      </c>
      <c r="C80" s="0" t="s">
        <v>11</v>
      </c>
      <c r="E80" s="0" t="str">
        <f aca="false">IF(ISBLANK(Table!A80),")ENGINE=Innodb;",IF(ISBLANK(Table!A81),CONCATENATE(Table!A80," ",Table!C80,IF(ISBLANK(Table!B80),"",CONCATENATE(",CONSTRAINT ",Table!B80," FOREIGN KEY(",Table!A80,") REFERENCES ",Table!D80,","))),CONCATENATE(Table!A80," ",Table!C80,IF(ISBLANK(Table!B80),",",CONCATENATE(",CONSTRAINT ",Table!B80," FOREIGN KEY(",Table!A80,") REFERENCES ",Table!D80,",")))))</f>
        <v>ask DECIMAL(65,8),</v>
      </c>
    </row>
    <row r="81" customFormat="false" ht="13.8" hidden="false" customHeight="false" outlineLevel="0" collapsed="false">
      <c r="A81" s="3" t="s">
        <v>13</v>
      </c>
      <c r="C81" s="0" t="s">
        <v>11</v>
      </c>
      <c r="E81" s="0" t="str">
        <f aca="false">IF(ISBLANK(Table!A81),")ENGINE=Innodb;",IF(ISBLANK(Table!A82),CONCATENATE(Table!A81," ",Table!C81,IF(ISBLANK(Table!B81),"",CONCATENATE(",CONSTRAINT ",Table!B81," FOREIGN KEY(",Table!A81,") REFERENCES ",Table!D81,","))),CONCATENATE(Table!A81," ",Table!C81,IF(ISBLANK(Table!B81),",",CONCATENATE(",CONSTRAINT ",Table!B81," FOREIGN KEY(",Table!A81,") REFERENCES ",Table!D81,",")))))</f>
        <v>volume_btc DECIMAL(65,8),</v>
      </c>
    </row>
    <row r="82" customFormat="false" ht="13.8" hidden="false" customHeight="false" outlineLevel="0" collapsed="false">
      <c r="A82" s="3" t="s">
        <v>14</v>
      </c>
      <c r="C82" s="0" t="s">
        <v>11</v>
      </c>
      <c r="E82" s="0" t="str">
        <f aca="false">IF(ISBLANK(Table!A82),")ENGINE=Innodb;",IF(ISBLANK(Table!A83),CONCATENATE(Table!A82," ",Table!C82,IF(ISBLANK(Table!B82),"",CONCATENATE(",CONSTRAINT ",Table!B82," FOREIGN KEY(",Table!A82,") REFERENCES ",Table!D82,","))),CONCATENATE(Table!A82," ",Table!C82,IF(ISBLANK(Table!B82),",",CONCATENATE(",CONSTRAINT ",Table!B82," FOREIGN KEY(",Table!A82,") REFERENCES ",Table!D82,",")))))</f>
        <v>volume_alt DECIMAL(65,8),</v>
      </c>
    </row>
    <row r="83" customFormat="false" ht="13.8" hidden="false" customHeight="false" outlineLevel="0" collapsed="false">
      <c r="A83" s="3" t="s">
        <v>15</v>
      </c>
      <c r="C83" s="0" t="s">
        <v>16</v>
      </c>
      <c r="E83" s="0" t="str">
        <f aca="false">IF(ISBLANK(Table!A83),")ENGINE=Innodb;",IF(ISBLANK(Table!A84),CONCATENATE(Table!A83," ",Table!C83,IF(ISBLANK(Table!B83),"",CONCATENATE(",CONSTRAINT ",Table!B83," FOREIGN KEY(",Table!A83,") REFERENCES ",Table!D83,","))),CONCATENATE(Table!A83," ",Table!C83,IF(ISBLANK(Table!B83),",",CONCATENATE(",CONSTRAINT ",Table!B83," FOREIGN KEY(",Table!A83,") REFERENCES ",Table!D83,",")))))</f>
        <v>date_input DATETIME,</v>
      </c>
    </row>
    <row r="84" customFormat="false" ht="13.8" hidden="false" customHeight="false" outlineLevel="0" collapsed="false">
      <c r="A84" s="3" t="s">
        <v>17</v>
      </c>
      <c r="C84" s="0" t="s">
        <v>16</v>
      </c>
      <c r="E84" s="0" t="str">
        <f aca="false">IF(ISBLANK(Table!A84),")ENGINE=Innodb;",IF(ISBLANK(Table!A85),CONCATENATE(Table!A84," ",Table!C84,IF(ISBLANK(Table!B84),"",CONCATENATE(",CONSTRAINT ",Table!B84," FOREIGN KEY(",Table!A84,") REFERENCES ",Table!D84,","))),CONCATENATE(Table!A84," ",Table!C84,IF(ISBLANK(Table!B84),",",CONCATENATE(",CONSTRAINT ",Table!B84," FOREIGN KEY(",Table!A84,") REFERENCES ",Table!D84,",")))))</f>
        <v>date_update DATETIME,</v>
      </c>
    </row>
    <row r="85" customFormat="false" ht="13.8" hidden="false" customHeight="false" outlineLevel="0" collapsed="false">
      <c r="A85" s="3" t="s">
        <v>18</v>
      </c>
      <c r="C85" s="0" t="s">
        <v>19</v>
      </c>
      <c r="E85" s="0" t="str">
        <f aca="false">IF(ISBLANK(Table!A85),")ENGINE=Innodb;",IF(ISBLANK(Table!A86),CONCATENATE(Table!A85," ",Table!C85,IF(ISBLANK(Table!B85),"",CONCATENATE(",CONSTRAINT ",Table!B85," FOREIGN KEY(",Table!A85,") REFERENCES ",Table!D85,","))),CONCATENATE(Table!A85," ",Table!C85,IF(ISBLANK(Table!B85),",",CONCATENATE(",CONSTRAINT ",Table!B85," FOREIGN KEY(",Table!A85,") REFERENCES ",Table!D85,",")))))</f>
        <v>link VARCHAR(300),</v>
      </c>
    </row>
    <row r="86" customFormat="false" ht="13.8" hidden="false" customHeight="false" outlineLevel="0" collapsed="false">
      <c r="A86" s="3" t="s">
        <v>20</v>
      </c>
      <c r="C86" s="0" t="s">
        <v>21</v>
      </c>
      <c r="E86" s="0" t="str">
        <f aca="false">IF(ISBLANK(Table!A86),")ENGINE=Innodb;",IF(ISBLANK(Table!A87),CONCATENATE(Table!A86," ",Table!C86,IF(ISBLANK(Table!B86),"",CONCATENATE(",CONSTRAINT ",Table!B86," FOREIGN KEY(",Table!A86,") REFERENCES ",Table!D86,","))),CONCATENATE(Table!A86," ",Table!C86,IF(ISBLANK(Table!B86),",",CONCATENATE(",CONSTRAINT ",Table!B86," FOREIGN KEY(",Table!A86,") REFERENCES ",Table!D86,",")))))</f>
        <v>status CHAR(1),</v>
      </c>
    </row>
    <row r="87" customFormat="false" ht="13.8" hidden="false" customHeight="false" outlineLevel="0" collapsed="false">
      <c r="A87" s="3" t="s">
        <v>22</v>
      </c>
      <c r="C87" s="0" t="s">
        <v>16</v>
      </c>
      <c r="E87" s="0" t="str">
        <f aca="false">IF(ISBLANK(Table!A87),")ENGINE=Innodb;",IF(ISBLANK(Table!A88),CONCATENATE(Table!A87," ",Table!C87,IF(ISBLANK(Table!B87),"",CONCATENATE(",CONSTRAINT ",Table!B87," FOREIGN KEY(",Table!A87,") REFERENCES ",Table!D87,","))),CONCATENATE(Table!A87," ",Table!C87,IF(ISBLANK(Table!B87),",",CONCATENATE(",CONSTRAINT ",Table!B87," FOREIGN KEY(",Table!A87,") REFERENCES ",Table!D87,",")))))</f>
        <v>date_status DATETIME,</v>
      </c>
    </row>
    <row r="88" customFormat="false" ht="13.8" hidden="false" customHeight="false" outlineLevel="0" collapsed="false">
      <c r="A88" s="3" t="s">
        <v>23</v>
      </c>
      <c r="C88" s="0" t="s">
        <v>24</v>
      </c>
      <c r="E88" s="0" t="str">
        <f aca="false">IF(ISBLANK(Table!A88),")ENGINE=Innodb;",IF(ISBLANK(Table!A90),CONCATENATE(Table!A88," ",Table!C88,IF(ISBLANK(Table!B88),"",CONCATENATE(",CONSTRAINT ",Table!B88," FOREIGN KEY(",Table!A88,") REFERENCES ",Table!D88,","))),CONCATENATE(Table!A88," ",Table!C88,IF(ISBLANK(Table!B88),",",CONCATENATE(",CONSTRAINT ",Table!B88," FOREIGN KEY(",Table!A88,") REFERENCES ",Table!D88,",")))))</f>
        <v>ket_status INT(3)</v>
      </c>
    </row>
    <row r="89" customFormat="false" ht="13.8" hidden="false" customHeight="false" outlineLevel="0" collapsed="false">
      <c r="E89" s="0" t="str">
        <f aca="false">IF(ISBLANK(Table!A89),")ENGINE=Innodb;",IF(ISBLANK(Table!A91),CONCATENATE(Table!A89," ",Table!C89,IF(ISBLANK(Table!B89),"",CONCATENATE(",CONSTRAINT ",Table!B89," FOREIGN KEY(",Table!A89,") REFERENCES ",Table!D89,","))),CONCATENATE(Table!A89," ",Table!C89,IF(ISBLANK(Table!B89),",",CONCATENATE(",CONSTRAINT ",Table!B89," FOREIGN KEY(",Table!A89,") REFERENCES ",Table!D89,",")))))</f>
        <v>)ENGINE=Innodb;</v>
      </c>
    </row>
    <row r="95" customFormat="false" ht="13.8" hidden="false" customHeight="false" outlineLevel="0" collapsed="false">
      <c r="E95" s="0" t="str">
        <f aca="false">"DROP TABLE "&amp;Table!A96&amp;";"</f>
        <v>DROP TABLE exc_vipbtckoid;</v>
      </c>
    </row>
    <row r="96" customFormat="false" ht="13.8" hidden="false" customHeight="false" outlineLevel="0" collapsed="false">
      <c r="A96" s="1" t="s">
        <v>32</v>
      </c>
      <c r="E96" s="0" t="str">
        <f aca="false">CONCATENATE("CREATE TABLE ",Table!A96,"(")</f>
        <v>CREATE TABLE exc_vipbtckoid(</v>
      </c>
    </row>
    <row r="97" customFormat="false" ht="13.8" hidden="false" customHeight="false" outlineLevel="0" collapsed="false">
      <c r="A97" s="2" t="s">
        <v>1</v>
      </c>
      <c r="B97" s="0" t="str">
        <f aca="false">"pk_"&amp;Table!A97&amp;"_"&amp;Table!A96</f>
        <v>pk_id_exc_vipbtckoid</v>
      </c>
      <c r="C97" s="0" t="s">
        <v>2</v>
      </c>
      <c r="E97" s="0" t="str">
        <f aca="false">IF(ISBLANK(Table!A97),")ENGINE=MyIsam;",IF(ISBLANK(#REF!),CONCATENATE(Table!A97," ",Table!C97,IF(ISBLANK(Table!B97),"",CONCATENATE(",CONSTRAINT ",Table!B97," PRIMARY KEY(",Table!A97,")",Table!D97,","))),CONCATENATE(Table!A97," ",Table!C97,IF(ISBLANK(Table!B97),",",CONCATENATE(",CONSTRAINT ",Table!B97," PRIMARY KEY(",Table!A97,")",Table!D97,",")))))</f>
        <v>id VARCHAR(50),CONSTRAINT pk_id_exc_vipbtckoid PRIMARY KEY(id),</v>
      </c>
    </row>
    <row r="98" customFormat="false" ht="13.8" hidden="false" customHeight="false" outlineLevel="0" collapsed="false">
      <c r="A98" s="3" t="s">
        <v>5</v>
      </c>
      <c r="C98" s="0" t="s">
        <v>2</v>
      </c>
      <c r="E98" s="0" t="str">
        <f aca="false">IF(ISBLANK(Table!A98),")ENGINE=Innodb;",IF(ISBLANK(Table!A99),CONCATENATE(Table!A98," ",Table!C98,IF(ISBLANK(Table!B98),"",CONCATENATE(",CONSTRAINT ",Table!B98," FOREIGN KEY(",Table!A98,") REFERENCES ",Table!D98,","))),CONCATENATE(Table!A98," ",Table!C98,IF(ISBLANK(Table!B98),",",CONCATENATE(",CONSTRAINT ",Table!B98," FOREIGN KEY(",Table!A98,") REFERENCES ",Table!D98,",")))))</f>
        <v>currency VARCHAR(50),</v>
      </c>
    </row>
    <row r="99" customFormat="false" ht="13.8" hidden="false" customHeight="false" outlineLevel="0" collapsed="false">
      <c r="A99" s="3" t="s">
        <v>6</v>
      </c>
      <c r="C99" s="0" t="s">
        <v>7</v>
      </c>
      <c r="E99" s="0" t="str">
        <f aca="false">IF(ISBLANK(Table!A99),")ENGINE=Innodb;",IF(ISBLANK(Table!A100),CONCATENATE(Table!A99," ",Table!C99,IF(ISBLANK(Table!B99),"",CONCATENATE(",CONSTRAINT ",Table!B99," FOREIGN KEY(",Table!A99,") REFERENCES ",Table!D99,","))),CONCATENATE(Table!A99," ",Table!C99,IF(ISBLANK(Table!B99),",",CONCATENATE(",CONSTRAINT ",Table!B99," FOREIGN KEY(",Table!A99,") REFERENCES ",Table!D99,",")))))</f>
        <v>alias_currency VARCHAR(100),</v>
      </c>
    </row>
    <row r="100" customFormat="false" ht="13.8" hidden="false" customHeight="false" outlineLevel="0" collapsed="false">
      <c r="A100" s="3" t="s">
        <v>8</v>
      </c>
      <c r="C100" s="0" t="s">
        <v>2</v>
      </c>
      <c r="E100" s="0" t="str">
        <f aca="false">IF(ISBLANK(Table!A100),")ENGINE=Innodb;",IF(ISBLANK(Table!A101),CONCATENATE(Table!A100," ",Table!C100,IF(ISBLANK(Table!B100),"",CONCATENATE(",CONSTRAINT ",Table!B100," FOREIGN KEY(",Table!A100,") REFERENCES ",Table!D100,","))),CONCATENATE(Table!A100," ",Table!C100,IF(ISBLANK(Table!B100),",",CONCATENATE(",CONSTRAINT ",Table!B100," FOREIGN KEY(",Table!A100,") REFERENCES ",Table!D100,",")))))</f>
        <v>base VARCHAR(50),</v>
      </c>
    </row>
    <row r="101" customFormat="false" ht="13.8" hidden="false" customHeight="false" outlineLevel="0" collapsed="false">
      <c r="A101" s="3" t="s">
        <v>9</v>
      </c>
      <c r="C101" s="0" t="s">
        <v>7</v>
      </c>
      <c r="E101" s="0" t="str">
        <f aca="false">IF(ISBLANK(Table!A101),")ENGINE=Innodb;",IF(ISBLANK(Table!A102),CONCATENATE(Table!A101," ",Table!C101,IF(ISBLANK(Table!B101),"",CONCATENATE(",CONSTRAINT ",Table!B101," FOREIGN KEY(",Table!A101,") REFERENCES ",Table!D101,","))),CONCATENATE(Table!A101," ",Table!C101,IF(ISBLANK(Table!B101),",",CONCATENATE(",CONSTRAINT ",Table!B101," FOREIGN KEY(",Table!A101,") REFERENCES ",Table!D101,",")))))</f>
        <v>alias_base VARCHAR(100),</v>
      </c>
    </row>
    <row r="102" customFormat="false" ht="13.8" hidden="false" customHeight="false" outlineLevel="0" collapsed="false">
      <c r="A102" s="3" t="s">
        <v>10</v>
      </c>
      <c r="C102" s="0" t="s">
        <v>11</v>
      </c>
      <c r="E102" s="0" t="str">
        <f aca="false">IF(ISBLANK(Table!A102),")ENGINE=Innodb;",IF(ISBLANK(Table!A103),CONCATENATE(Table!A102," ",Table!C102,IF(ISBLANK(Table!B102),"",CONCATENATE(",CONSTRAINT ",Table!B102," FOREIGN KEY(",Table!A102,") REFERENCES ",Table!D102,","))),CONCATENATE(Table!A102," ",Table!C102,IF(ISBLANK(Table!B102),",",CONCATENATE(",CONSTRAINT ",Table!B102," FOREIGN KEY(",Table!A102,") REFERENCES ",Table!D102,",")))))</f>
        <v>bid DECIMAL(65,8),</v>
      </c>
    </row>
    <row r="103" customFormat="false" ht="13.8" hidden="false" customHeight="false" outlineLevel="0" collapsed="false">
      <c r="A103" s="3" t="s">
        <v>12</v>
      </c>
      <c r="C103" s="0" t="s">
        <v>11</v>
      </c>
      <c r="E103" s="0" t="str">
        <f aca="false">IF(ISBLANK(Table!A103),")ENGINE=Innodb;",IF(ISBLANK(Table!A104),CONCATENATE(Table!A103," ",Table!C103,IF(ISBLANK(Table!B103),"",CONCATENATE(",CONSTRAINT ",Table!B103," FOREIGN KEY(",Table!A103,") REFERENCES ",Table!D103,","))),CONCATENATE(Table!A103," ",Table!C103,IF(ISBLANK(Table!B103),",",CONCATENATE(",CONSTRAINT ",Table!B103," FOREIGN KEY(",Table!A103,") REFERENCES ",Table!D103,",")))))</f>
        <v>ask DECIMAL(65,8),</v>
      </c>
    </row>
    <row r="104" customFormat="false" ht="13.8" hidden="false" customHeight="false" outlineLevel="0" collapsed="false">
      <c r="A104" s="3" t="s">
        <v>13</v>
      </c>
      <c r="C104" s="0" t="s">
        <v>11</v>
      </c>
      <c r="E104" s="0" t="str">
        <f aca="false">IF(ISBLANK(Table!A104),")ENGINE=Innodb;",IF(ISBLANK(Table!A105),CONCATENATE(Table!A104," ",Table!C104,IF(ISBLANK(Table!B104),"",CONCATENATE(",CONSTRAINT ",Table!B104," FOREIGN KEY(",Table!A104,") REFERENCES ",Table!D104,","))),CONCATENATE(Table!A104," ",Table!C104,IF(ISBLANK(Table!B104),",",CONCATENATE(",CONSTRAINT ",Table!B104," FOREIGN KEY(",Table!A104,") REFERENCES ",Table!D104,",")))))</f>
        <v>volume_btc DECIMAL(65,8),</v>
      </c>
    </row>
    <row r="105" customFormat="false" ht="13.8" hidden="false" customHeight="false" outlineLevel="0" collapsed="false">
      <c r="A105" s="3" t="s">
        <v>14</v>
      </c>
      <c r="C105" s="0" t="s">
        <v>11</v>
      </c>
      <c r="E105" s="0" t="str">
        <f aca="false">IF(ISBLANK(Table!A105),")ENGINE=Innodb;",IF(ISBLANK(Table!A106),CONCATENATE(Table!A105," ",Table!C105,IF(ISBLANK(Table!B105),"",CONCATENATE(",CONSTRAINT ",Table!B105," FOREIGN KEY(",Table!A105,") REFERENCES ",Table!D105,","))),CONCATENATE(Table!A105," ",Table!C105,IF(ISBLANK(Table!B105),",",CONCATENATE(",CONSTRAINT ",Table!B105," FOREIGN KEY(",Table!A105,") REFERENCES ",Table!D105,",")))))</f>
        <v>volume_alt DECIMAL(65,8),</v>
      </c>
    </row>
    <row r="106" customFormat="false" ht="13.8" hidden="false" customHeight="false" outlineLevel="0" collapsed="false">
      <c r="A106" s="3" t="s">
        <v>15</v>
      </c>
      <c r="C106" s="0" t="s">
        <v>16</v>
      </c>
      <c r="E106" s="0" t="str">
        <f aca="false">IF(ISBLANK(Table!A106),")ENGINE=Innodb;",IF(ISBLANK(Table!A107),CONCATENATE(Table!A106," ",Table!C106,IF(ISBLANK(Table!B106),"",CONCATENATE(",CONSTRAINT ",Table!B106," FOREIGN KEY(",Table!A106,") REFERENCES ",Table!D106,","))),CONCATENATE(Table!A106," ",Table!C106,IF(ISBLANK(Table!B106),",",CONCATENATE(",CONSTRAINT ",Table!B106," FOREIGN KEY(",Table!A106,") REFERENCES ",Table!D106,",")))))</f>
        <v>date_input DATETIME,</v>
      </c>
    </row>
    <row r="107" customFormat="false" ht="13.8" hidden="false" customHeight="false" outlineLevel="0" collapsed="false">
      <c r="A107" s="3" t="s">
        <v>17</v>
      </c>
      <c r="C107" s="0" t="s">
        <v>16</v>
      </c>
      <c r="E107" s="0" t="str">
        <f aca="false">IF(ISBLANK(Table!A107),")ENGINE=Innodb;",IF(ISBLANK(Table!A108),CONCATENATE(Table!A107," ",Table!C107,IF(ISBLANK(Table!B107),"",CONCATENATE(",CONSTRAINT ",Table!B107," FOREIGN KEY(",Table!A107,") REFERENCES ",Table!D107,","))),CONCATENATE(Table!A107," ",Table!C107,IF(ISBLANK(Table!B107),",",CONCATENATE(",CONSTRAINT ",Table!B107," FOREIGN KEY(",Table!A107,") REFERENCES ",Table!D107,",")))))</f>
        <v>date_update DATETIME,</v>
      </c>
    </row>
    <row r="108" customFormat="false" ht="13.8" hidden="false" customHeight="false" outlineLevel="0" collapsed="false">
      <c r="A108" s="3" t="s">
        <v>18</v>
      </c>
      <c r="C108" s="0" t="s">
        <v>19</v>
      </c>
      <c r="E108" s="0" t="str">
        <f aca="false">IF(ISBLANK(Table!A108),")ENGINE=Innodb;",IF(ISBLANK(Table!A109),CONCATENATE(Table!A108," ",Table!C108,IF(ISBLANK(Table!B108),"",CONCATENATE(",CONSTRAINT ",Table!B108," FOREIGN KEY(",Table!A108,") REFERENCES ",Table!D108,","))),CONCATENATE(Table!A108," ",Table!C108,IF(ISBLANK(Table!B108),",",CONCATENATE(",CONSTRAINT ",Table!B108," FOREIGN KEY(",Table!A108,") REFERENCES ",Table!D108,",")))))</f>
        <v>link VARCHAR(300),</v>
      </c>
    </row>
    <row r="109" customFormat="false" ht="13.8" hidden="false" customHeight="false" outlineLevel="0" collapsed="false">
      <c r="A109" s="3" t="s">
        <v>20</v>
      </c>
      <c r="C109" s="0" t="s">
        <v>21</v>
      </c>
      <c r="E109" s="0" t="str">
        <f aca="false">IF(ISBLANK(Table!A109),")ENGINE=Innodb;",IF(ISBLANK(Table!A110),CONCATENATE(Table!A109," ",Table!C109,IF(ISBLANK(Table!B109),"",CONCATENATE(",CONSTRAINT ",Table!B109," FOREIGN KEY(",Table!A109,") REFERENCES ",Table!D109,","))),CONCATENATE(Table!A109," ",Table!C109,IF(ISBLANK(Table!B109),",",CONCATENATE(",CONSTRAINT ",Table!B109," FOREIGN KEY(",Table!A109,") REFERENCES ",Table!D109,",")))))</f>
        <v>status CHAR(1),</v>
      </c>
    </row>
    <row r="110" customFormat="false" ht="13.8" hidden="false" customHeight="false" outlineLevel="0" collapsed="false">
      <c r="A110" s="3" t="s">
        <v>22</v>
      </c>
      <c r="C110" s="0" t="s">
        <v>16</v>
      </c>
      <c r="E110" s="0" t="str">
        <f aca="false">IF(ISBLANK(Table!A110),")ENGINE=Innodb;",IF(ISBLANK(Table!A111),CONCATENATE(Table!A110," ",Table!C110,IF(ISBLANK(Table!B110),"",CONCATENATE(",CONSTRAINT ",Table!B110," FOREIGN KEY(",Table!A110,") REFERENCES ",Table!D110,","))),CONCATENATE(Table!A110," ",Table!C110,IF(ISBLANK(Table!B110),",",CONCATENATE(",CONSTRAINT ",Table!B110," FOREIGN KEY(",Table!A110,") REFERENCES ",Table!D110,",")))))</f>
        <v>date_status DATETIME,</v>
      </c>
    </row>
    <row r="111" customFormat="false" ht="13.8" hidden="false" customHeight="false" outlineLevel="0" collapsed="false">
      <c r="A111" s="3" t="s">
        <v>23</v>
      </c>
      <c r="C111" s="0" t="s">
        <v>24</v>
      </c>
      <c r="E111" s="0" t="str">
        <f aca="false">IF(ISBLANK(Table!A111),")ENGINE=Innodb;",IF(ISBLANK(Table!A113),CONCATENATE(Table!A111," ",Table!C111,IF(ISBLANK(Table!B111),"",CONCATENATE(",CONSTRAINT ",Table!B111," FOREIGN KEY(",Table!A111,") REFERENCES ",Table!D111,","))),CONCATENATE(Table!A111," ",Table!C111,IF(ISBLANK(Table!B111),",",CONCATENATE(",CONSTRAINT ",Table!B111," FOREIGN KEY(",Table!A111,") REFERENCES ",Table!D111,",")))))</f>
        <v>ket_status INT(3)</v>
      </c>
    </row>
    <row r="112" customFormat="false" ht="13.8" hidden="false" customHeight="false" outlineLevel="0" collapsed="false">
      <c r="E112" s="0" t="str">
        <f aca="false">IF(ISBLANK(Table!A112),")ENGINE=Innodb;",IF(ISBLANK(Table!A114),CONCATENATE(Table!A112," ",Table!C112,IF(ISBLANK(Table!B112),"",CONCATENATE(",CONSTRAINT ",Table!B112," FOREIGN KEY(",Table!A112,") REFERENCES ",Table!D112,","))),CONCATENATE(Table!A112," ",Table!C112,IF(ISBLANK(Table!B112),",",CONCATENATE(",CONSTRAINT ",Table!B112," FOREIGN KEY(",Table!A112,") REFERENCES ",Table!D112,",")))))</f>
        <v>)ENGINE=Innodb;</v>
      </c>
    </row>
    <row r="118" customFormat="false" ht="13.8" hidden="false" customHeight="false" outlineLevel="0" collapsed="false">
      <c r="E118" s="0" t="str">
        <f aca="false">"DROP TABLE "&amp;Table!A119&amp;";"</f>
        <v>DROP TABLE exc_cryptopia;</v>
      </c>
    </row>
    <row r="119" customFormat="false" ht="13.8" hidden="false" customHeight="false" outlineLevel="0" collapsed="false">
      <c r="A119" s="1" t="s">
        <v>33</v>
      </c>
      <c r="E119" s="0" t="str">
        <f aca="false">CONCATENATE("CREATE TABLE ",Table!A119,"(")</f>
        <v>CREATE TABLE exc_cryptopia(</v>
      </c>
    </row>
    <row r="120" customFormat="false" ht="13.8" hidden="false" customHeight="false" outlineLevel="0" collapsed="false">
      <c r="A120" s="2" t="s">
        <v>1</v>
      </c>
      <c r="B120" s="0" t="str">
        <f aca="false">"pk_"&amp;Table!A120&amp;"_"&amp;Table!A119</f>
        <v>pk_id_exc_cryptopia</v>
      </c>
      <c r="C120" s="0" t="s">
        <v>2</v>
      </c>
      <c r="E120" s="0" t="str">
        <f aca="false">IF(ISBLANK(Table!A120),")ENGINE=MyIsam;",IF(ISBLANK(#REF!),CONCATENATE(Table!A120," ",Table!C120,IF(ISBLANK(Table!B120),"",CONCATENATE(",CONSTRAINT ",Table!B120," PRIMARY KEY(",Table!A120,")",Table!D120,","))),CONCATENATE(Table!A120," ",Table!C120,IF(ISBLANK(Table!B120),",",CONCATENATE(",CONSTRAINT ",Table!B120," PRIMARY KEY(",Table!A120,")",Table!D120,",")))))</f>
        <v>id VARCHAR(50),CONSTRAINT pk_id_exc_cryptopia PRIMARY KEY(id),</v>
      </c>
    </row>
    <row r="121" customFormat="false" ht="13.8" hidden="false" customHeight="false" outlineLevel="0" collapsed="false">
      <c r="A121" s="3" t="s">
        <v>5</v>
      </c>
      <c r="C121" s="0" t="s">
        <v>2</v>
      </c>
      <c r="E121" s="0" t="str">
        <f aca="false">IF(ISBLANK(Table!A121),")ENGINE=Innodb;",IF(ISBLANK(Table!A122),CONCATENATE(Table!A121," ",Table!C121,IF(ISBLANK(Table!B121),"",CONCATENATE(",CONSTRAINT ",Table!B121," FOREIGN KEY(",Table!A121,") REFERENCES ",Table!D121,","))),CONCATENATE(Table!A121," ",Table!C121,IF(ISBLANK(Table!B121),",",CONCATENATE(",CONSTRAINT ",Table!B121," FOREIGN KEY(",Table!A121,") REFERENCES ",Table!D121,",")))))</f>
        <v>currency VARCHAR(50),</v>
      </c>
    </row>
    <row r="122" customFormat="false" ht="13.8" hidden="false" customHeight="false" outlineLevel="0" collapsed="false">
      <c r="A122" s="3" t="s">
        <v>6</v>
      </c>
      <c r="C122" s="0" t="s">
        <v>7</v>
      </c>
      <c r="E122" s="0" t="str">
        <f aca="false">IF(ISBLANK(Table!A122),")ENGINE=Innodb;",IF(ISBLANK(Table!A123),CONCATENATE(Table!A122," ",Table!C122,IF(ISBLANK(Table!B122),"",CONCATENATE(",CONSTRAINT ",Table!B122," FOREIGN KEY(",Table!A122,") REFERENCES ",Table!D122,","))),CONCATENATE(Table!A122," ",Table!C122,IF(ISBLANK(Table!B122),",",CONCATENATE(",CONSTRAINT ",Table!B122," FOREIGN KEY(",Table!A122,") REFERENCES ",Table!D122,",")))))</f>
        <v>alias_currency VARCHAR(100),</v>
      </c>
    </row>
    <row r="123" customFormat="false" ht="13.8" hidden="false" customHeight="false" outlineLevel="0" collapsed="false">
      <c r="A123" s="3" t="s">
        <v>8</v>
      </c>
      <c r="C123" s="0" t="s">
        <v>2</v>
      </c>
      <c r="E123" s="0" t="str">
        <f aca="false">IF(ISBLANK(Table!A123),")ENGINE=Innodb;",IF(ISBLANK(Table!A124),CONCATENATE(Table!A123," ",Table!C123,IF(ISBLANK(Table!B123),"",CONCATENATE(",CONSTRAINT ",Table!B123," FOREIGN KEY(",Table!A123,") REFERENCES ",Table!D123,","))),CONCATENATE(Table!A123," ",Table!C123,IF(ISBLANK(Table!B123),",",CONCATENATE(",CONSTRAINT ",Table!B123," FOREIGN KEY(",Table!A123,") REFERENCES ",Table!D123,",")))))</f>
        <v>base VARCHAR(50),</v>
      </c>
    </row>
    <row r="124" customFormat="false" ht="13.8" hidden="false" customHeight="false" outlineLevel="0" collapsed="false">
      <c r="A124" s="3" t="s">
        <v>9</v>
      </c>
      <c r="C124" s="0" t="s">
        <v>7</v>
      </c>
      <c r="E124" s="0" t="str">
        <f aca="false">IF(ISBLANK(Table!A124),")ENGINE=Innodb;",IF(ISBLANK(Table!A125),CONCATENATE(Table!A124," ",Table!C124,IF(ISBLANK(Table!B124),"",CONCATENATE(",CONSTRAINT ",Table!B124," FOREIGN KEY(",Table!A124,") REFERENCES ",Table!D124,","))),CONCATENATE(Table!A124," ",Table!C124,IF(ISBLANK(Table!B124),",",CONCATENATE(",CONSTRAINT ",Table!B124," FOREIGN KEY(",Table!A124,") REFERENCES ",Table!D124,",")))))</f>
        <v>alias_base VARCHAR(100),</v>
      </c>
    </row>
    <row r="125" customFormat="false" ht="13.8" hidden="false" customHeight="false" outlineLevel="0" collapsed="false">
      <c r="A125" s="3" t="s">
        <v>10</v>
      </c>
      <c r="C125" s="0" t="s">
        <v>11</v>
      </c>
      <c r="E125" s="0" t="str">
        <f aca="false">IF(ISBLANK(Table!A125),")ENGINE=Innodb;",IF(ISBLANK(Table!A126),CONCATENATE(Table!A125," ",Table!C125,IF(ISBLANK(Table!B125),"",CONCATENATE(",CONSTRAINT ",Table!B125," FOREIGN KEY(",Table!A125,") REFERENCES ",Table!D125,","))),CONCATENATE(Table!A125," ",Table!C125,IF(ISBLANK(Table!B125),",",CONCATENATE(",CONSTRAINT ",Table!B125," FOREIGN KEY(",Table!A125,") REFERENCES ",Table!D125,",")))))</f>
        <v>bid DECIMAL(65,8),</v>
      </c>
    </row>
    <row r="126" customFormat="false" ht="13.8" hidden="false" customHeight="false" outlineLevel="0" collapsed="false">
      <c r="A126" s="3" t="s">
        <v>12</v>
      </c>
      <c r="C126" s="0" t="s">
        <v>11</v>
      </c>
      <c r="E126" s="0" t="str">
        <f aca="false">IF(ISBLANK(Table!A126),")ENGINE=Innodb;",IF(ISBLANK(Table!A127),CONCATENATE(Table!A126," ",Table!C126,IF(ISBLANK(Table!B126),"",CONCATENATE(",CONSTRAINT ",Table!B126," FOREIGN KEY(",Table!A126,") REFERENCES ",Table!D126,","))),CONCATENATE(Table!A126," ",Table!C126,IF(ISBLANK(Table!B126),",",CONCATENATE(",CONSTRAINT ",Table!B126," FOREIGN KEY(",Table!A126,") REFERENCES ",Table!D126,",")))))</f>
        <v>ask DECIMAL(65,8),</v>
      </c>
    </row>
    <row r="127" customFormat="false" ht="13.8" hidden="false" customHeight="false" outlineLevel="0" collapsed="false">
      <c r="A127" s="3" t="s">
        <v>13</v>
      </c>
      <c r="C127" s="0" t="s">
        <v>11</v>
      </c>
      <c r="E127" s="0" t="str">
        <f aca="false">IF(ISBLANK(Table!A127),")ENGINE=Innodb;",IF(ISBLANK(Table!A128),CONCATENATE(Table!A127," ",Table!C127,IF(ISBLANK(Table!B127),"",CONCATENATE(",CONSTRAINT ",Table!B127," FOREIGN KEY(",Table!A127,") REFERENCES ",Table!D127,","))),CONCATENATE(Table!A127," ",Table!C127,IF(ISBLANK(Table!B127),",",CONCATENATE(",CONSTRAINT ",Table!B127," FOREIGN KEY(",Table!A127,") REFERENCES ",Table!D127,",")))))</f>
        <v>volume_btc DECIMAL(65,8),</v>
      </c>
    </row>
    <row r="128" customFormat="false" ht="13.8" hidden="false" customHeight="false" outlineLevel="0" collapsed="false">
      <c r="A128" s="3" t="s">
        <v>14</v>
      </c>
      <c r="C128" s="0" t="s">
        <v>11</v>
      </c>
      <c r="E128" s="0" t="str">
        <f aca="false">IF(ISBLANK(Table!A128),")ENGINE=Innodb;",IF(ISBLANK(Table!A129),CONCATENATE(Table!A128," ",Table!C128,IF(ISBLANK(Table!B128),"",CONCATENATE(",CONSTRAINT ",Table!B128," FOREIGN KEY(",Table!A128,") REFERENCES ",Table!D128,","))),CONCATENATE(Table!A128," ",Table!C128,IF(ISBLANK(Table!B128),",",CONCATENATE(",CONSTRAINT ",Table!B128," FOREIGN KEY(",Table!A128,") REFERENCES ",Table!D128,",")))))</f>
        <v>volume_alt DECIMAL(65,8),</v>
      </c>
    </row>
    <row r="129" customFormat="false" ht="13.8" hidden="false" customHeight="false" outlineLevel="0" collapsed="false">
      <c r="A129" s="3" t="s">
        <v>15</v>
      </c>
      <c r="C129" s="0" t="s">
        <v>16</v>
      </c>
      <c r="E129" s="0" t="str">
        <f aca="false">IF(ISBLANK(Table!A129),")ENGINE=Innodb;",IF(ISBLANK(Table!A130),CONCATENATE(Table!A129," ",Table!C129,IF(ISBLANK(Table!B129),"",CONCATENATE(",CONSTRAINT ",Table!B129," FOREIGN KEY(",Table!A129,") REFERENCES ",Table!D129,","))),CONCATENATE(Table!A129," ",Table!C129,IF(ISBLANK(Table!B129),",",CONCATENATE(",CONSTRAINT ",Table!B129," FOREIGN KEY(",Table!A129,") REFERENCES ",Table!D129,",")))))</f>
        <v>date_input DATETIME,</v>
      </c>
    </row>
    <row r="130" customFormat="false" ht="13.8" hidden="false" customHeight="false" outlineLevel="0" collapsed="false">
      <c r="A130" s="3" t="s">
        <v>17</v>
      </c>
      <c r="C130" s="0" t="s">
        <v>16</v>
      </c>
      <c r="E130" s="0" t="str">
        <f aca="false">IF(ISBLANK(Table!A130),")ENGINE=Innodb;",IF(ISBLANK(Table!A131),CONCATENATE(Table!A130," ",Table!C130,IF(ISBLANK(Table!B130),"",CONCATENATE(",CONSTRAINT ",Table!B130," FOREIGN KEY(",Table!A130,") REFERENCES ",Table!D130,","))),CONCATENATE(Table!A130," ",Table!C130,IF(ISBLANK(Table!B130),",",CONCATENATE(",CONSTRAINT ",Table!B130," FOREIGN KEY(",Table!A130,") REFERENCES ",Table!D130,",")))))</f>
        <v>date_update DATETIME,</v>
      </c>
    </row>
    <row r="131" customFormat="false" ht="13.8" hidden="false" customHeight="false" outlineLevel="0" collapsed="false">
      <c r="A131" s="3" t="s">
        <v>18</v>
      </c>
      <c r="C131" s="0" t="s">
        <v>19</v>
      </c>
      <c r="E131" s="0" t="str">
        <f aca="false">IF(ISBLANK(Table!A131),")ENGINE=Innodb;",IF(ISBLANK(Table!A132),CONCATENATE(Table!A131," ",Table!C131,IF(ISBLANK(Table!B131),"",CONCATENATE(",CONSTRAINT ",Table!B131," FOREIGN KEY(",Table!A131,") REFERENCES ",Table!D131,","))),CONCATENATE(Table!A131," ",Table!C131,IF(ISBLANK(Table!B131),",",CONCATENATE(",CONSTRAINT ",Table!B131," FOREIGN KEY(",Table!A131,") REFERENCES ",Table!D131,",")))))</f>
        <v>link VARCHAR(300),</v>
      </c>
    </row>
    <row r="132" customFormat="false" ht="13.8" hidden="false" customHeight="false" outlineLevel="0" collapsed="false">
      <c r="A132" s="3" t="s">
        <v>20</v>
      </c>
      <c r="C132" s="0" t="s">
        <v>21</v>
      </c>
      <c r="E132" s="0" t="str">
        <f aca="false">IF(ISBLANK(Table!A132),")ENGINE=Innodb;",IF(ISBLANK(Table!A133),CONCATENATE(Table!A132," ",Table!C132,IF(ISBLANK(Table!B132),"",CONCATENATE(",CONSTRAINT ",Table!B132," FOREIGN KEY(",Table!A132,") REFERENCES ",Table!D132,","))),CONCATENATE(Table!A132," ",Table!C132,IF(ISBLANK(Table!B132),",",CONCATENATE(",CONSTRAINT ",Table!B132," FOREIGN KEY(",Table!A132,") REFERENCES ",Table!D132,",")))))</f>
        <v>status CHAR(1),</v>
      </c>
    </row>
    <row r="133" customFormat="false" ht="13.8" hidden="false" customHeight="false" outlineLevel="0" collapsed="false">
      <c r="A133" s="3" t="s">
        <v>22</v>
      </c>
      <c r="C133" s="0" t="s">
        <v>16</v>
      </c>
      <c r="E133" s="0" t="str">
        <f aca="false">IF(ISBLANK(Table!A133),")ENGINE=Innodb;",IF(ISBLANK(Table!A134),CONCATENATE(Table!A133," ",Table!C133,IF(ISBLANK(Table!B133),"",CONCATENATE(",CONSTRAINT ",Table!B133," FOREIGN KEY(",Table!A133,") REFERENCES ",Table!D133,","))),CONCATENATE(Table!A133," ",Table!C133,IF(ISBLANK(Table!B133),",",CONCATENATE(",CONSTRAINT ",Table!B133," FOREIGN KEY(",Table!A133,") REFERENCES ",Table!D133,",")))))</f>
        <v>date_status DATETIME,</v>
      </c>
    </row>
    <row r="134" customFormat="false" ht="13.8" hidden="false" customHeight="false" outlineLevel="0" collapsed="false">
      <c r="A134" s="3" t="s">
        <v>23</v>
      </c>
      <c r="C134" s="0" t="s">
        <v>24</v>
      </c>
      <c r="E134" s="0" t="str">
        <f aca="false">IF(ISBLANK(Table!A134),")ENGINE=Innodb;",IF(ISBLANK(Table!A136),CONCATENATE(Table!A134," ",Table!C134,IF(ISBLANK(Table!B134),"",CONCATENATE(",CONSTRAINT ",Table!B134," FOREIGN KEY(",Table!A134,") REFERENCES ",Table!D134,","))),CONCATENATE(Table!A134," ",Table!C134,IF(ISBLANK(Table!B134),",",CONCATENATE(",CONSTRAINT ",Table!B134," FOREIGN KEY(",Table!A134,") REFERENCES ",Table!D134,",")))))</f>
        <v>ket_status INT(3)</v>
      </c>
    </row>
    <row r="135" customFormat="false" ht="13.8" hidden="false" customHeight="false" outlineLevel="0" collapsed="false">
      <c r="E135" s="0" t="str">
        <f aca="false">IF(ISBLANK(Table!A135),")ENGINE=Innodb;",IF(ISBLANK(Table!A137),CONCATENATE(Table!A135," ",Table!C135,IF(ISBLANK(Table!B135),"",CONCATENATE(",CONSTRAINT ",Table!B135," FOREIGN KEY(",Table!A135,") REFERENCES ",Table!D135,","))),CONCATENATE(Table!A135," ",Table!C135,IF(ISBLANK(Table!B135),",",CONCATENATE(",CONSTRAINT ",Table!B135," FOREIGN KEY(",Table!A135,") REFERENCES ",Table!D135,",")))))</f>
        <v>)ENGINE=Innodb;</v>
      </c>
    </row>
    <row r="140" customFormat="false" ht="13.8" hidden="false" customHeight="false" outlineLevel="0" collapsed="false">
      <c r="E140" s="0" t="str">
        <f aca="false">"DROP TABLE "&amp;Table!A141&amp;";"</f>
        <v>DROP TABLE exc_btce;</v>
      </c>
    </row>
    <row r="141" customFormat="false" ht="13.8" hidden="false" customHeight="false" outlineLevel="0" collapsed="false">
      <c r="A141" s="1" t="s">
        <v>34</v>
      </c>
      <c r="E141" s="0" t="str">
        <f aca="false">CONCATENATE("CREATE TABLE ",Table!A141,"(")</f>
        <v>CREATE TABLE exc_btce(</v>
      </c>
    </row>
    <row r="142" customFormat="false" ht="13.8" hidden="false" customHeight="false" outlineLevel="0" collapsed="false">
      <c r="A142" s="2" t="s">
        <v>1</v>
      </c>
      <c r="B142" s="0" t="str">
        <f aca="false">"pk_"&amp;Table!A142&amp;"_"&amp;Table!A141</f>
        <v>pk_id_exc_btce</v>
      </c>
      <c r="C142" s="0" t="s">
        <v>2</v>
      </c>
      <c r="E142" s="0" t="str">
        <f aca="false">IF(ISBLANK(Table!A142),")ENGINE=MyIsam;",IF(ISBLANK(#REF!),CONCATENATE(Table!A142," ",Table!C142,IF(ISBLANK(Table!B142),"",CONCATENATE(",CONSTRAINT ",Table!B142," PRIMARY KEY(",Table!A142,")",Table!D142,","))),CONCATENATE(Table!A142," ",Table!C142,IF(ISBLANK(Table!B142),",",CONCATENATE(",CONSTRAINT ",Table!B142," PRIMARY KEY(",Table!A142,")",Table!D142,",")))))</f>
        <v>id VARCHAR(50),CONSTRAINT pk_id_exc_btce PRIMARY KEY(id),</v>
      </c>
    </row>
    <row r="143" customFormat="false" ht="13.8" hidden="false" customHeight="false" outlineLevel="0" collapsed="false">
      <c r="A143" s="3" t="s">
        <v>5</v>
      </c>
      <c r="C143" s="0" t="s">
        <v>2</v>
      </c>
      <c r="E143" s="0" t="str">
        <f aca="false">IF(ISBLANK(Table!A143),")ENGINE=Innodb;",IF(ISBLANK(Table!A144),CONCATENATE(Table!A143," ",Table!C143,IF(ISBLANK(Table!B143),"",CONCATENATE(",CONSTRAINT ",Table!B143," FOREIGN KEY(",Table!A143,") REFERENCES ",Table!D143,","))),CONCATENATE(Table!A143," ",Table!C143,IF(ISBLANK(Table!B143),",",CONCATENATE(",CONSTRAINT ",Table!B143," FOREIGN KEY(",Table!A143,") REFERENCES ",Table!D143,",")))))</f>
        <v>currency VARCHAR(50),</v>
      </c>
    </row>
    <row r="144" customFormat="false" ht="13.8" hidden="false" customHeight="false" outlineLevel="0" collapsed="false">
      <c r="A144" s="3" t="s">
        <v>6</v>
      </c>
      <c r="C144" s="0" t="s">
        <v>7</v>
      </c>
      <c r="E144" s="0" t="str">
        <f aca="false">IF(ISBLANK(Table!A144),")ENGINE=Innodb;",IF(ISBLANK(Table!A145),CONCATENATE(Table!A144," ",Table!C144,IF(ISBLANK(Table!B144),"",CONCATENATE(",CONSTRAINT ",Table!B144," FOREIGN KEY(",Table!A144,") REFERENCES ",Table!D144,","))),CONCATENATE(Table!A144," ",Table!C144,IF(ISBLANK(Table!B144),",",CONCATENATE(",CONSTRAINT ",Table!B144," FOREIGN KEY(",Table!A144,") REFERENCES ",Table!D144,",")))))</f>
        <v>alias_currency VARCHAR(100),</v>
      </c>
    </row>
    <row r="145" customFormat="false" ht="13.8" hidden="false" customHeight="false" outlineLevel="0" collapsed="false">
      <c r="A145" s="3" t="s">
        <v>8</v>
      </c>
      <c r="C145" s="0" t="s">
        <v>2</v>
      </c>
      <c r="E145" s="0" t="str">
        <f aca="false">IF(ISBLANK(Table!A145),")ENGINE=Innodb;",IF(ISBLANK(Table!A146),CONCATENATE(Table!A145," ",Table!C145,IF(ISBLANK(Table!B145),"",CONCATENATE(",CONSTRAINT ",Table!B145," FOREIGN KEY(",Table!A145,") REFERENCES ",Table!D145,","))),CONCATENATE(Table!A145," ",Table!C145,IF(ISBLANK(Table!B145),",",CONCATENATE(",CONSTRAINT ",Table!B145," FOREIGN KEY(",Table!A145,") REFERENCES ",Table!D145,",")))))</f>
        <v>base VARCHAR(50),</v>
      </c>
    </row>
    <row r="146" customFormat="false" ht="13.8" hidden="false" customHeight="false" outlineLevel="0" collapsed="false">
      <c r="A146" s="3" t="s">
        <v>9</v>
      </c>
      <c r="C146" s="0" t="s">
        <v>7</v>
      </c>
      <c r="E146" s="0" t="str">
        <f aca="false">IF(ISBLANK(Table!A146),")ENGINE=Innodb;",IF(ISBLANK(Table!A147),CONCATENATE(Table!A146," ",Table!C146,IF(ISBLANK(Table!B146),"",CONCATENATE(",CONSTRAINT ",Table!B146," FOREIGN KEY(",Table!A146,") REFERENCES ",Table!D146,","))),CONCATENATE(Table!A146," ",Table!C146,IF(ISBLANK(Table!B146),",",CONCATENATE(",CONSTRAINT ",Table!B146," FOREIGN KEY(",Table!A146,") REFERENCES ",Table!D146,",")))))</f>
        <v>alias_base VARCHAR(100),</v>
      </c>
    </row>
    <row r="147" customFormat="false" ht="13.8" hidden="false" customHeight="false" outlineLevel="0" collapsed="false">
      <c r="A147" s="3" t="s">
        <v>10</v>
      </c>
      <c r="C147" s="0" t="s">
        <v>11</v>
      </c>
      <c r="E147" s="0" t="str">
        <f aca="false">IF(ISBLANK(Table!A147),")ENGINE=Innodb;",IF(ISBLANK(Table!A148),CONCATENATE(Table!A147," ",Table!C147,IF(ISBLANK(Table!B147),"",CONCATENATE(",CONSTRAINT ",Table!B147," FOREIGN KEY(",Table!A147,") REFERENCES ",Table!D147,","))),CONCATENATE(Table!A147," ",Table!C147,IF(ISBLANK(Table!B147),",",CONCATENATE(",CONSTRAINT ",Table!B147," FOREIGN KEY(",Table!A147,") REFERENCES ",Table!D147,",")))))</f>
        <v>bid DECIMAL(65,8),</v>
      </c>
    </row>
    <row r="148" customFormat="false" ht="13.8" hidden="false" customHeight="false" outlineLevel="0" collapsed="false">
      <c r="A148" s="3" t="s">
        <v>12</v>
      </c>
      <c r="C148" s="0" t="s">
        <v>11</v>
      </c>
      <c r="E148" s="0" t="str">
        <f aca="false">IF(ISBLANK(Table!A148),")ENGINE=Innodb;",IF(ISBLANK(Table!A149),CONCATENATE(Table!A148," ",Table!C148,IF(ISBLANK(Table!B148),"",CONCATENATE(",CONSTRAINT ",Table!B148," FOREIGN KEY(",Table!A148,") REFERENCES ",Table!D148,","))),CONCATENATE(Table!A148," ",Table!C148,IF(ISBLANK(Table!B148),",",CONCATENATE(",CONSTRAINT ",Table!B148," FOREIGN KEY(",Table!A148,") REFERENCES ",Table!D148,",")))))</f>
        <v>ask DECIMAL(65,8),</v>
      </c>
    </row>
    <row r="149" customFormat="false" ht="13.8" hidden="false" customHeight="false" outlineLevel="0" collapsed="false">
      <c r="A149" s="3" t="s">
        <v>14</v>
      </c>
      <c r="C149" s="0" t="s">
        <v>11</v>
      </c>
      <c r="E149" s="0" t="str">
        <f aca="false">IF(ISBLANK(Table!A149),")ENGINE=Innodb;",IF(ISBLANK(Table!A150),CONCATENATE(Table!A149," ",Table!C149,IF(ISBLANK(Table!B149),"",CONCATENATE(",CONSTRAINT ",Table!B149," FOREIGN KEY(",Table!A149,") REFERENCES ",Table!D149,","))),CONCATENATE(Table!A149," ",Table!C149,IF(ISBLANK(Table!B149),",",CONCATENATE(",CONSTRAINT ",Table!B149," FOREIGN KEY(",Table!A149,") REFERENCES ",Table!D149,",")))))</f>
        <v>volume_alt DECIMAL(65,8),</v>
      </c>
    </row>
    <row r="150" customFormat="false" ht="13.8" hidden="false" customHeight="false" outlineLevel="0" collapsed="false">
      <c r="A150" s="3" t="s">
        <v>13</v>
      </c>
      <c r="C150" s="0" t="s">
        <v>11</v>
      </c>
      <c r="E150" s="0" t="str">
        <f aca="false">IF(ISBLANK(Table!A150),")ENGINE=Innodb;",IF(ISBLANK(Table!A151),CONCATENATE(Table!A150," ",Table!C150,IF(ISBLANK(Table!B150),"",CONCATENATE(",CONSTRAINT ",Table!B150," FOREIGN KEY(",Table!A150,") REFERENCES ",Table!D150,","))),CONCATENATE(Table!A150," ",Table!C150,IF(ISBLANK(Table!B150),",",CONCATENATE(",CONSTRAINT ",Table!B150," FOREIGN KEY(",Table!A150,") REFERENCES ",Table!D150,",")))))</f>
        <v>volume_btc DECIMAL(65,8),</v>
      </c>
    </row>
    <row r="151" customFormat="false" ht="13.8" hidden="false" customHeight="false" outlineLevel="0" collapsed="false">
      <c r="A151" s="3" t="s">
        <v>15</v>
      </c>
      <c r="C151" s="0" t="s">
        <v>16</v>
      </c>
      <c r="E151" s="0" t="str">
        <f aca="false">IF(ISBLANK(Table!A151),")ENGINE=Innodb;",IF(ISBLANK(Table!A152),CONCATENATE(Table!A151," ",Table!C151,IF(ISBLANK(Table!B151),"",CONCATENATE(",CONSTRAINT ",Table!B151," FOREIGN KEY(",Table!A151,") REFERENCES ",Table!D151,","))),CONCATENATE(Table!A151," ",Table!C151,IF(ISBLANK(Table!B151),",",CONCATENATE(",CONSTRAINT ",Table!B151," FOREIGN KEY(",Table!A151,") REFERENCES ",Table!D151,",")))))</f>
        <v>date_input DATETIME,</v>
      </c>
    </row>
    <row r="152" customFormat="false" ht="13.8" hidden="false" customHeight="false" outlineLevel="0" collapsed="false">
      <c r="A152" s="3" t="s">
        <v>17</v>
      </c>
      <c r="C152" s="0" t="s">
        <v>16</v>
      </c>
      <c r="E152" s="0" t="str">
        <f aca="false">IF(ISBLANK(Table!A152),")ENGINE=Innodb;",IF(ISBLANK(Table!A153),CONCATENATE(Table!A152," ",Table!C152,IF(ISBLANK(Table!B152),"",CONCATENATE(",CONSTRAINT ",Table!B152," FOREIGN KEY(",Table!A152,") REFERENCES ",Table!D152,","))),CONCATENATE(Table!A152," ",Table!C152,IF(ISBLANK(Table!B152),",",CONCATENATE(",CONSTRAINT ",Table!B152," FOREIGN KEY(",Table!A152,") REFERENCES ",Table!D152,",")))))</f>
        <v>date_update DATETIME,</v>
      </c>
    </row>
    <row r="153" customFormat="false" ht="13.8" hidden="false" customHeight="false" outlineLevel="0" collapsed="false">
      <c r="A153" s="3" t="s">
        <v>18</v>
      </c>
      <c r="C153" s="0" t="s">
        <v>19</v>
      </c>
      <c r="E153" s="0" t="str">
        <f aca="false">IF(ISBLANK(Table!A153),")ENGINE=Innodb;",IF(ISBLANK(Table!A154),CONCATENATE(Table!A153," ",Table!C153,IF(ISBLANK(Table!B153),"",CONCATENATE(",CONSTRAINT ",Table!B153," FOREIGN KEY(",Table!A153,") REFERENCES ",Table!D153,","))),CONCATENATE(Table!A153," ",Table!C153,IF(ISBLANK(Table!B153),",",CONCATENATE(",CONSTRAINT ",Table!B153," FOREIGN KEY(",Table!A153,") REFERENCES ",Table!D153,",")))))</f>
        <v>link VARCHAR(300),</v>
      </c>
    </row>
    <row r="154" customFormat="false" ht="13.8" hidden="false" customHeight="false" outlineLevel="0" collapsed="false">
      <c r="A154" s="3" t="s">
        <v>20</v>
      </c>
      <c r="C154" s="0" t="s">
        <v>21</v>
      </c>
      <c r="E154" s="0" t="str">
        <f aca="false">IF(ISBLANK(Table!A154),")ENGINE=Innodb;",IF(ISBLANK(Table!A155),CONCATENATE(Table!A154," ",Table!C154,IF(ISBLANK(Table!B154),"",CONCATENATE(",CONSTRAINT ",Table!B154," FOREIGN KEY(",Table!A154,") REFERENCES ",Table!D154,","))),CONCATENATE(Table!A154," ",Table!C154,IF(ISBLANK(Table!B154),",",CONCATENATE(",CONSTRAINT ",Table!B154," FOREIGN KEY(",Table!A154,") REFERENCES ",Table!D154,",")))))</f>
        <v>status CHAR(1),</v>
      </c>
    </row>
    <row r="155" customFormat="false" ht="13.8" hidden="false" customHeight="false" outlineLevel="0" collapsed="false">
      <c r="A155" s="3" t="s">
        <v>22</v>
      </c>
      <c r="C155" s="0" t="s">
        <v>16</v>
      </c>
      <c r="E155" s="0" t="str">
        <f aca="false">IF(ISBLANK(Table!A155),")ENGINE=Innodb;",IF(ISBLANK(Table!A156),CONCATENATE(Table!A155," ",Table!C155,IF(ISBLANK(Table!B155),"",CONCATENATE(",CONSTRAINT ",Table!B155," FOREIGN KEY(",Table!A155,") REFERENCES ",Table!D155,","))),CONCATENATE(Table!A155," ",Table!C155,IF(ISBLANK(Table!B155),",",CONCATENATE(",CONSTRAINT ",Table!B155," FOREIGN KEY(",Table!A155,") REFERENCES ",Table!D155,",")))))</f>
        <v>date_status DATETIME,</v>
      </c>
    </row>
    <row r="156" customFormat="false" ht="13.8" hidden="false" customHeight="false" outlineLevel="0" collapsed="false">
      <c r="A156" s="3" t="s">
        <v>23</v>
      </c>
      <c r="C156" s="0" t="s">
        <v>24</v>
      </c>
      <c r="E156" s="0" t="str">
        <f aca="false">IF(ISBLANK(Table!A156),")ENGINE=Innodb;",IF(ISBLANK(Table!A158),CONCATENATE(Table!A156," ",Table!C156,IF(ISBLANK(Table!B156),"",CONCATENATE(",CONSTRAINT ",Table!B156," FOREIGN KEY(",Table!A156,") REFERENCES ",Table!D156,","))),CONCATENATE(Table!A156," ",Table!C156,IF(ISBLANK(Table!B156),",",CONCATENATE(",CONSTRAINT ",Table!B156," FOREIGN KEY(",Table!A156,") REFERENCES ",Table!D156,",")))))</f>
        <v>ket_status INT(3)</v>
      </c>
    </row>
    <row r="157" customFormat="false" ht="13.8" hidden="false" customHeight="false" outlineLevel="0" collapsed="false">
      <c r="E157" s="0" t="str">
        <f aca="false">IF(ISBLANK(Table!A157),")ENGINE=Innodb;",IF(ISBLANK(Table!A159),CONCATENATE(Table!A157," ",Table!C157,IF(ISBLANK(Table!B157),"",CONCATENATE(",CONSTRAINT ",Table!B157," FOREIGN KEY(",Table!A157,") REFERENCES ",Table!D157,","))),CONCATENATE(Table!A157," ",Table!C157,IF(ISBLANK(Table!B157),",",CONCATENATE(",CONSTRAINT ",Table!B157," FOREIGN KEY(",Table!A157,") REFERENCES ",Table!D157,",")))))</f>
        <v>)ENGINE=Innodb;</v>
      </c>
    </row>
    <row r="162" customFormat="false" ht="13.8" hidden="false" customHeight="false" outlineLevel="0" collapsed="false">
      <c r="E162" s="0" t="str">
        <f aca="false">"DROP TABLE "&amp;Table!A163&amp;";"</f>
        <v>DROP TABLE exc_bleutrade;</v>
      </c>
    </row>
    <row r="163" customFormat="false" ht="13.8" hidden="false" customHeight="false" outlineLevel="0" collapsed="false">
      <c r="A163" s="1" t="s">
        <v>35</v>
      </c>
      <c r="E163" s="0" t="str">
        <f aca="false">CONCATENATE("CREATE TABLE ",Table!A163,"(")</f>
        <v>CREATE TABLE exc_bleutrade(</v>
      </c>
    </row>
    <row r="164" customFormat="false" ht="13.8" hidden="false" customHeight="false" outlineLevel="0" collapsed="false">
      <c r="A164" s="2" t="s">
        <v>1</v>
      </c>
      <c r="B164" s="0" t="str">
        <f aca="false">"pk_"&amp;Table!A164&amp;"_"&amp;Table!A163</f>
        <v>pk_id_exc_bleutrade</v>
      </c>
      <c r="C164" s="0" t="s">
        <v>2</v>
      </c>
      <c r="E164" s="0" t="str">
        <f aca="false">IF(ISBLANK(Table!A164),")ENGINE=MyIsam;",IF(ISBLANK(#REF!),CONCATENATE(Table!A164," ",Table!C164,IF(ISBLANK(Table!B164),"",CONCATENATE(",CONSTRAINT ",Table!B164," PRIMARY KEY(",Table!A164,")",Table!D164,","))),CONCATENATE(Table!A164," ",Table!C164,IF(ISBLANK(Table!B164),",",CONCATENATE(",CONSTRAINT ",Table!B164," PRIMARY KEY(",Table!A164,")",Table!D164,",")))))</f>
        <v>id VARCHAR(50),CONSTRAINT pk_id_exc_bleutrade PRIMARY KEY(id),</v>
      </c>
    </row>
    <row r="165" customFormat="false" ht="13.8" hidden="false" customHeight="false" outlineLevel="0" collapsed="false">
      <c r="A165" s="3" t="s">
        <v>5</v>
      </c>
      <c r="C165" s="0" t="s">
        <v>2</v>
      </c>
      <c r="E165" s="0" t="str">
        <f aca="false">IF(ISBLANK(Table!A165),")ENGINE=Innodb;",IF(ISBLANK(Table!A166),CONCATENATE(Table!A165," ",Table!C165,IF(ISBLANK(Table!B165),"",CONCATENATE(",CONSTRAINT ",Table!B165," FOREIGN KEY(",Table!A165,") REFERENCES ",Table!D165,","))),CONCATENATE(Table!A165," ",Table!C165,IF(ISBLANK(Table!B165),",",CONCATENATE(",CONSTRAINT ",Table!B165," FOREIGN KEY(",Table!A165,") REFERENCES ",Table!D165,",")))))</f>
        <v>currency VARCHAR(50),</v>
      </c>
    </row>
    <row r="166" customFormat="false" ht="13.8" hidden="false" customHeight="false" outlineLevel="0" collapsed="false">
      <c r="A166" s="3" t="s">
        <v>6</v>
      </c>
      <c r="C166" s="0" t="s">
        <v>7</v>
      </c>
      <c r="E166" s="0" t="str">
        <f aca="false">IF(ISBLANK(Table!A166),")ENGINE=Innodb;",IF(ISBLANK(Table!A167),CONCATENATE(Table!A166," ",Table!C166,IF(ISBLANK(Table!B166),"",CONCATENATE(",CONSTRAINT ",Table!B166," FOREIGN KEY(",Table!A166,") REFERENCES ",Table!D166,","))),CONCATENATE(Table!A166," ",Table!C166,IF(ISBLANK(Table!B166),",",CONCATENATE(",CONSTRAINT ",Table!B166," FOREIGN KEY(",Table!A166,") REFERENCES ",Table!D166,",")))))</f>
        <v>alias_currency VARCHAR(100),</v>
      </c>
    </row>
    <row r="167" customFormat="false" ht="13.8" hidden="false" customHeight="false" outlineLevel="0" collapsed="false">
      <c r="A167" s="3" t="s">
        <v>8</v>
      </c>
      <c r="C167" s="0" t="s">
        <v>2</v>
      </c>
      <c r="E167" s="0" t="str">
        <f aca="false">IF(ISBLANK(Table!A167),")ENGINE=Innodb;",IF(ISBLANK(Table!A168),CONCATENATE(Table!A167," ",Table!C167,IF(ISBLANK(Table!B167),"",CONCATENATE(",CONSTRAINT ",Table!B167," FOREIGN KEY(",Table!A167,") REFERENCES ",Table!D167,","))),CONCATENATE(Table!A167," ",Table!C167,IF(ISBLANK(Table!B167),",",CONCATENATE(",CONSTRAINT ",Table!B167," FOREIGN KEY(",Table!A167,") REFERENCES ",Table!D167,",")))))</f>
        <v>base VARCHAR(50),</v>
      </c>
    </row>
    <row r="168" customFormat="false" ht="13.8" hidden="false" customHeight="false" outlineLevel="0" collapsed="false">
      <c r="A168" s="3" t="s">
        <v>9</v>
      </c>
      <c r="C168" s="0" t="s">
        <v>7</v>
      </c>
      <c r="E168" s="0" t="str">
        <f aca="false">IF(ISBLANK(Table!A168),")ENGINE=Innodb;",IF(ISBLANK(Table!A169),CONCATENATE(Table!A168," ",Table!C168,IF(ISBLANK(Table!B168),"",CONCATENATE(",CONSTRAINT ",Table!B168," FOREIGN KEY(",Table!A168,") REFERENCES ",Table!D168,","))),CONCATENATE(Table!A168," ",Table!C168,IF(ISBLANK(Table!B168),",",CONCATENATE(",CONSTRAINT ",Table!B168," FOREIGN KEY(",Table!A168,") REFERENCES ",Table!D168,",")))))</f>
        <v>alias_base VARCHAR(100),</v>
      </c>
    </row>
    <row r="169" customFormat="false" ht="13.8" hidden="false" customHeight="false" outlineLevel="0" collapsed="false">
      <c r="A169" s="3" t="s">
        <v>10</v>
      </c>
      <c r="C169" s="0" t="s">
        <v>11</v>
      </c>
      <c r="E169" s="0" t="str">
        <f aca="false">IF(ISBLANK(Table!A169),")ENGINE=Innodb;",IF(ISBLANK(Table!A170),CONCATENATE(Table!A169," ",Table!C169,IF(ISBLANK(Table!B169),"",CONCATENATE(",CONSTRAINT ",Table!B169," FOREIGN KEY(",Table!A169,") REFERENCES ",Table!D169,","))),CONCATENATE(Table!A169," ",Table!C169,IF(ISBLANK(Table!B169),",",CONCATENATE(",CONSTRAINT ",Table!B169," FOREIGN KEY(",Table!A169,") REFERENCES ",Table!D169,",")))))</f>
        <v>bid DECIMAL(65,8),</v>
      </c>
    </row>
    <row r="170" customFormat="false" ht="13.8" hidden="false" customHeight="false" outlineLevel="0" collapsed="false">
      <c r="A170" s="3" t="s">
        <v>12</v>
      </c>
      <c r="C170" s="0" t="s">
        <v>11</v>
      </c>
      <c r="E170" s="0" t="str">
        <f aca="false">IF(ISBLANK(Table!A170),")ENGINE=Innodb;",IF(ISBLANK(Table!A171),CONCATENATE(Table!A170," ",Table!C170,IF(ISBLANK(Table!B170),"",CONCATENATE(",CONSTRAINT ",Table!B170," FOREIGN KEY(",Table!A170,") REFERENCES ",Table!D170,","))),CONCATENATE(Table!A170," ",Table!C170,IF(ISBLANK(Table!B170),",",CONCATENATE(",CONSTRAINT ",Table!B170," FOREIGN KEY(",Table!A170,") REFERENCES ",Table!D170,",")))))</f>
        <v>ask DECIMAL(65,8),</v>
      </c>
    </row>
    <row r="171" customFormat="false" ht="13.8" hidden="false" customHeight="false" outlineLevel="0" collapsed="false">
      <c r="A171" s="3" t="s">
        <v>36</v>
      </c>
      <c r="C171" s="0" t="s">
        <v>11</v>
      </c>
      <c r="E171" s="0" t="str">
        <f aca="false">IF(ISBLANK(Table!A171),")ENGINE=Innodb;",IF(ISBLANK(Table!A172),CONCATENATE(Table!A171," ",Table!C171,IF(ISBLANK(Table!B171),"",CONCATENATE(",CONSTRAINT ",Table!B171," FOREIGN KEY(",Table!A171,") REFERENCES ",Table!D171,","))),CONCATENATE(Table!A171," ",Table!C171,IF(ISBLANK(Table!B171),",",CONCATENATE(",CONSTRAINT ",Table!B171," FOREIGN KEY(",Table!A171,") REFERENCES ",Table!D171,",")))))</f>
        <v>volume DECIMAL(65,8),</v>
      </c>
    </row>
    <row r="172" customFormat="false" ht="13.8" hidden="false" customHeight="false" outlineLevel="0" collapsed="false">
      <c r="A172" s="3" t="s">
        <v>37</v>
      </c>
      <c r="C172" s="0" t="s">
        <v>11</v>
      </c>
      <c r="E172" s="0" t="str">
        <f aca="false">IF(ISBLANK(Table!A172),")ENGINE=Innodb;",IF(ISBLANK(Table!A173),CONCATENATE(Table!A172," ",Table!C172,IF(ISBLANK(Table!B172),"",CONCATENATE(",CONSTRAINT ",Table!B172," FOREIGN KEY(",Table!A172,") REFERENCES ",Table!D172,","))),CONCATENATE(Table!A172," ",Table!C172,IF(ISBLANK(Table!B172),",",CONCATENATE(",CONSTRAINT ",Table!B172," FOREIGN KEY(",Table!A172,") REFERENCES ",Table!D172,",")))))</f>
        <v>volume_base DECIMAL(65,8),</v>
      </c>
    </row>
    <row r="173" customFormat="false" ht="13.8" hidden="false" customHeight="false" outlineLevel="0" collapsed="false">
      <c r="A173" s="3" t="s">
        <v>15</v>
      </c>
      <c r="C173" s="0" t="s">
        <v>16</v>
      </c>
      <c r="E173" s="0" t="str">
        <f aca="false">IF(ISBLANK(Table!A173),")ENGINE=Innodb;",IF(ISBLANK(Table!A174),CONCATENATE(Table!A173," ",Table!C173,IF(ISBLANK(Table!B173),"",CONCATENATE(",CONSTRAINT ",Table!B173," FOREIGN KEY(",Table!A173,") REFERENCES ",Table!D173,","))),CONCATENATE(Table!A173," ",Table!C173,IF(ISBLANK(Table!B173),",",CONCATENATE(",CONSTRAINT ",Table!B173," FOREIGN KEY(",Table!A173,") REFERENCES ",Table!D173,",")))))</f>
        <v>date_input DATETIME,</v>
      </c>
    </row>
    <row r="174" customFormat="false" ht="13.8" hidden="false" customHeight="false" outlineLevel="0" collapsed="false">
      <c r="A174" s="3" t="s">
        <v>17</v>
      </c>
      <c r="C174" s="0" t="s">
        <v>16</v>
      </c>
      <c r="E174" s="0" t="str">
        <f aca="false">IF(ISBLANK(Table!A174),")ENGINE=Innodb;",IF(ISBLANK(Table!A175),CONCATENATE(Table!A174," ",Table!C174,IF(ISBLANK(Table!B174),"",CONCATENATE(",CONSTRAINT ",Table!B174," FOREIGN KEY(",Table!A174,") REFERENCES ",Table!D174,","))),CONCATENATE(Table!A174," ",Table!C174,IF(ISBLANK(Table!B174),",",CONCATENATE(",CONSTRAINT ",Table!B174," FOREIGN KEY(",Table!A174,") REFERENCES ",Table!D174,",")))))</f>
        <v>date_update DATETIME,</v>
      </c>
    </row>
    <row r="175" customFormat="false" ht="13.8" hidden="false" customHeight="false" outlineLevel="0" collapsed="false">
      <c r="A175" s="3" t="s">
        <v>18</v>
      </c>
      <c r="C175" s="0" t="s">
        <v>19</v>
      </c>
      <c r="E175" s="0" t="str">
        <f aca="false">IF(ISBLANK(Table!A175),")ENGINE=Innodb;",IF(ISBLANK(Table!A176),CONCATENATE(Table!A175," ",Table!C175,IF(ISBLANK(Table!B175),"",CONCATENATE(",CONSTRAINT ",Table!B175," FOREIGN KEY(",Table!A175,") REFERENCES ",Table!D175,","))),CONCATENATE(Table!A175," ",Table!C175,IF(ISBLANK(Table!B175),",",CONCATENATE(",CONSTRAINT ",Table!B175," FOREIGN KEY(",Table!A175,") REFERENCES ",Table!D175,",")))))</f>
        <v>link VARCHAR(300),</v>
      </c>
    </row>
    <row r="176" customFormat="false" ht="13.8" hidden="false" customHeight="false" outlineLevel="0" collapsed="false">
      <c r="A176" s="3" t="s">
        <v>20</v>
      </c>
      <c r="C176" s="0" t="s">
        <v>21</v>
      </c>
      <c r="E176" s="0" t="str">
        <f aca="false">IF(ISBLANK(Table!A176),")ENGINE=Innodb;",IF(ISBLANK(Table!A177),CONCATENATE(Table!A176," ",Table!C176,IF(ISBLANK(Table!B176),"",CONCATENATE(",CONSTRAINT ",Table!B176," FOREIGN KEY(",Table!A176,") REFERENCES ",Table!D176,","))),CONCATENATE(Table!A176," ",Table!C176,IF(ISBLANK(Table!B176),",",CONCATENATE(",CONSTRAINT ",Table!B176," FOREIGN KEY(",Table!A176,") REFERENCES ",Table!D176,",")))))</f>
        <v>status CHAR(1),</v>
      </c>
    </row>
    <row r="177" customFormat="false" ht="13.8" hidden="false" customHeight="false" outlineLevel="0" collapsed="false">
      <c r="A177" s="3" t="s">
        <v>22</v>
      </c>
      <c r="C177" s="0" t="s">
        <v>16</v>
      </c>
      <c r="E177" s="0" t="str">
        <f aca="false">IF(ISBLANK(Table!A177),")ENGINE=Innodb;",IF(ISBLANK(Table!A178),CONCATENATE(Table!A177," ",Table!C177,IF(ISBLANK(Table!B177),"",CONCATENATE(",CONSTRAINT ",Table!B177," FOREIGN KEY(",Table!A177,") REFERENCES ",Table!D177,","))),CONCATENATE(Table!A177," ",Table!C177,IF(ISBLANK(Table!B177),",",CONCATENATE(",CONSTRAINT ",Table!B177," FOREIGN KEY(",Table!A177,") REFERENCES ",Table!D177,",")))))</f>
        <v>date_status DATETIME,</v>
      </c>
    </row>
    <row r="178" customFormat="false" ht="13.8" hidden="false" customHeight="false" outlineLevel="0" collapsed="false">
      <c r="A178" s="3" t="s">
        <v>23</v>
      </c>
      <c r="C178" s="0" t="s">
        <v>24</v>
      </c>
      <c r="E178" s="0" t="str">
        <f aca="false">IF(ISBLANK(Table!A178),")ENGINE=Innodb;",IF(ISBLANK(Table!A180),CONCATENATE(Table!A178," ",Table!C178,IF(ISBLANK(Table!B178),"",CONCATENATE(",CONSTRAINT ",Table!B178," FOREIGN KEY(",Table!A178,") REFERENCES ",Table!D178,","))),CONCATENATE(Table!A178," ",Table!C178,IF(ISBLANK(Table!B178),",",CONCATENATE(",CONSTRAINT ",Table!B178," FOREIGN KEY(",Table!A178,") REFERENCES ",Table!D178,",")))))</f>
        <v>ket_status INT(3)</v>
      </c>
    </row>
    <row r="179" customFormat="false" ht="13.8" hidden="false" customHeight="false" outlineLevel="0" collapsed="false">
      <c r="E179" s="0" t="str">
        <f aca="false">IF(ISBLANK(Table!A179),")ENGINE=Innodb;",IF(ISBLANK(Table!A181),CONCATENATE(Table!A179," ",Table!C179,IF(ISBLANK(Table!B179),"",CONCATENATE(",CONSTRAINT ",Table!B179," FOREIGN KEY(",Table!A179,") REFERENCES ",Table!D179,","))),CONCATENATE(Table!A179," ",Table!C179,IF(ISBLANK(Table!B179),",",CONCATENATE(",CONSTRAINT ",Table!B179," FOREIGN KEY(",Table!A179,") REFERENCES ",Table!D179,",")))))</f>
        <v>)ENGINE=Innodb;</v>
      </c>
      <c r="G179" s="0" t="s">
        <v>38</v>
      </c>
    </row>
    <row r="180" customFormat="false" ht="13.8" hidden="false" customHeight="false" outlineLevel="0" collapsed="false"/>
    <row r="181" customFormat="false" ht="13.8" hidden="false" customHeight="false" outlineLevel="0" collapsed="false"/>
    <row r="182" customFormat="false" ht="13.8" hidden="false" customHeight="false" outlineLevel="0" collapsed="false"/>
    <row r="183" customFormat="false" ht="13.8" hidden="false" customHeight="false" outlineLevel="0" collapsed="false">
      <c r="E183" s="0" t="str">
        <f aca="false">"DROP TABLE "&amp;Table!A184&amp;";"</f>
        <v>DROP TABLE bdb_poloniex;</v>
      </c>
    </row>
    <row r="184" customFormat="false" ht="13.8" hidden="false" customHeight="false" outlineLevel="0" collapsed="false">
      <c r="A184" s="1" t="s">
        <v>39</v>
      </c>
      <c r="E184" s="0" t="str">
        <f aca="false">CONCATENATE("CREATE TABLE ",Table!A184,"(")</f>
        <v>CREATE TABLE bdb_poloniex(</v>
      </c>
    </row>
    <row r="185" customFormat="false" ht="13.8" hidden="false" customHeight="false" outlineLevel="0" collapsed="false">
      <c r="A185" s="2" t="s">
        <v>1</v>
      </c>
      <c r="B185" s="0" t="str">
        <f aca="false">"pk_"&amp;Table!A185&amp;"_"&amp;Table!A184</f>
        <v>pk_id_bdb_poloniex</v>
      </c>
      <c r="C185" s="0" t="s">
        <v>40</v>
      </c>
      <c r="E185" s="0" t="str">
        <f aca="false">IF(ISBLANK(Table!A185),")ENGINE=MyIsam;",IF(ISBLANK(#REF!),CONCATENATE(Table!A185," ",Table!C185,IF(ISBLANK(Table!B185),"",CONCATENATE(",CONSTRAINT ",Table!B185," PRIMARY KEY(",Table!A185,")",Table!D185,","))),CONCATENATE(Table!A185," ",Table!C185,IF(ISBLANK(Table!B185),",",CONCATENATE(",CONSTRAINT ",Table!B185," PRIMARY KEY(",Table!A185,")",Table!D185,",")))))</f>
        <v>id CHAR(64) NOT NULL CHECK (id&lt;&gt;''),CONSTRAINT pk_id_bdb_poloniex PRIMARY KEY(id),</v>
      </c>
    </row>
    <row r="186" customFormat="false" ht="13.8" hidden="false" customHeight="false" outlineLevel="0" collapsed="false">
      <c r="A186" s="3" t="s">
        <v>41</v>
      </c>
      <c r="C186" s="0" t="s">
        <v>42</v>
      </c>
      <c r="E186" s="0" t="str">
        <f aca="false">IF(ISBLANK(Table!A186),")ENGINE=Innodb;",IF(ISBLANK(Table!A187),CONCATENATE(Table!A186," ",Table!C186,IF(ISBLANK(Table!B186),"",CONCATENATE(",CONSTRAINT ",Table!B186," FOREIGN KEY(",Table!A186,") REFERENCES ",Table!D186,","))),CONCATENATE(Table!A186," ",Table!C186,IF(ISBLANK(Table!B186),",",CONCATENATE(",CONSTRAINT ",Table!B186," FOREIGN KEY(",Table!A186,") REFERENCES ",Table!D186,",")))))</f>
        <v>idcurrency VARCHAR(50) NOT NULL NOT NULL CHECK (idcurrency&lt;&gt;''),</v>
      </c>
    </row>
    <row r="187" customFormat="false" ht="13.8" hidden="false" customHeight="false" outlineLevel="0" collapsed="false">
      <c r="A187" s="3" t="s">
        <v>5</v>
      </c>
      <c r="C187" s="0" t="s">
        <v>43</v>
      </c>
      <c r="E187" s="0" t="str">
        <f aca="false">IF(ISBLANK(Table!A187),")ENGINE=Innodb;",IF(ISBLANK(Table!A188),CONCATENATE(Table!A187," ",Table!C187,IF(ISBLANK(Table!B187),"",CONCATENATE(",CONSTRAINT ",Table!B187," FOREIGN KEY(",Table!A187,") REFERENCES ",Table!D187,","))),CONCATENATE(Table!A187," ",Table!C187,IF(ISBLANK(Table!B187),",",CONCATENATE(",CONSTRAINT ",Table!B187," FOREIGN KEY(",Table!A187,") REFERENCES ",Table!D187,",")))))</f>
        <v>currency VARCHAR(50) NOT NULL NOT NULL CHECK (currency&lt;&gt;''),</v>
      </c>
    </row>
    <row r="188" customFormat="false" ht="13.8" hidden="false" customHeight="false" outlineLevel="0" collapsed="false">
      <c r="A188" s="3" t="s">
        <v>6</v>
      </c>
      <c r="C188" s="0" t="s">
        <v>44</v>
      </c>
      <c r="E188" s="0" t="str">
        <f aca="false">IF(ISBLANK(Table!A188),")ENGINE=Innodb;",IF(ISBLANK(Table!A189),CONCATENATE(Table!A188," ",Table!C188,IF(ISBLANK(Table!B188),"",CONCATENATE(",CONSTRAINT ",Table!B188," FOREIGN KEY(",Table!A188,") REFERENCES ",Table!D188,","))),CONCATENATE(Table!A188," ",Table!C188,IF(ISBLANK(Table!B188),",",CONCATENATE(",CONSTRAINT ",Table!B188," FOREIGN KEY(",Table!A188,") REFERENCES ",Table!D188,",")))))</f>
        <v>alias_currency VARCHAR(100) NOT NULL NOT NULL CHECK (alias_currency&lt;&gt;''),</v>
      </c>
    </row>
    <row r="189" customFormat="false" ht="13.8" hidden="false" customHeight="false" outlineLevel="0" collapsed="false">
      <c r="A189" s="3" t="s">
        <v>45</v>
      </c>
      <c r="C189" s="0" t="s">
        <v>46</v>
      </c>
      <c r="E189" s="0" t="str">
        <f aca="false">IF(ISBLANK(Table!A189),")ENGINE=Innodb;",IF(ISBLANK(Table!A190),CONCATENATE(Table!A189," ",Table!C189,IF(ISBLANK(Table!B189),"",CONCATENATE(",CONSTRAINT ",Table!B189," FOREIGN KEY(",Table!A189,") REFERENCES ",Table!D189,","))),CONCATENATE(Table!A189," ",Table!C189,IF(ISBLANK(Table!B189),",",CONCATENATE(",CONSTRAINT ",Table!B189," FOREIGN KEY(",Table!A189,") REFERENCES ",Table!D189,",")))))</f>
        <v>date DATETIME NOT NULL NOT NULL CHECK (date&lt;&gt;''),</v>
      </c>
    </row>
    <row r="190" customFormat="false" ht="13.8" hidden="false" customHeight="false" outlineLevel="0" collapsed="false">
      <c r="A190" s="3" t="s">
        <v>47</v>
      </c>
      <c r="C190" s="0" t="s">
        <v>48</v>
      </c>
      <c r="E190" s="0" t="str">
        <f aca="false">IF(ISBLANK(Table!A190),")ENGINE=Innodb;",IF(ISBLANK(Table!A191),CONCATENATE(Table!A190," ",Table!C190,IF(ISBLANK(Table!B190),"",CONCATENATE(",CONSTRAINT ",Table!B190," FOREIGN KEY(",Table!A190,") REFERENCES ",Table!D190,","))),CONCATENATE(Table!A190," ",Table!C190,IF(ISBLANK(Table!B190),",",CONCATENATE(",CONSTRAINT ",Table!B190," FOREIGN KEY(",Table!A190,") REFERENCES ",Table!D190,",")))))</f>
        <v>type VARCHAR(4) NOT NULL NOT NULL CHECK (type&lt;&gt;''),</v>
      </c>
    </row>
    <row r="191" customFormat="false" ht="13.8" hidden="false" customHeight="false" outlineLevel="0" collapsed="false">
      <c r="A191" s="3" t="s">
        <v>49</v>
      </c>
      <c r="C191" s="0" t="s">
        <v>50</v>
      </c>
      <c r="E191" s="0" t="str">
        <f aca="false">IF(ISBLANK(Table!A191),")ENGINE=Innodb;",IF(ISBLANK(Table!A192),CONCATENATE(Table!A191," ",Table!C191,IF(ISBLANK(Table!B191),"",CONCATENATE(",CONSTRAINT ",Table!B191," FOREIGN KEY(",Table!A191,") REFERENCES ",Table!D191,","))),CONCATENATE(Table!A191," ",Table!C191,IF(ISBLANK(Table!B191),",",CONCATENATE(",CONSTRAINT ",Table!B191," FOREIGN KEY(",Table!A191,") REFERENCES ",Table!D191,",")))))</f>
        <v>rate DECIMAL(65,8) NOT NULL NOT NULL CHECK (rate&lt;&gt;''),</v>
      </c>
    </row>
    <row r="192" customFormat="false" ht="13.8" hidden="false" customHeight="false" outlineLevel="0" collapsed="false">
      <c r="A192" s="3" t="s">
        <v>51</v>
      </c>
      <c r="C192" s="0" t="s">
        <v>52</v>
      </c>
      <c r="E192" s="0" t="str">
        <f aca="false">IF(ISBLANK(Table!A192),")ENGINE=Innodb;",IF(ISBLANK(Table!A193),CONCATENATE(Table!A192," ",Table!C192,IF(ISBLANK(Table!B192),"",CONCATENATE(",CONSTRAINT ",Table!B192," FOREIGN KEY(",Table!A192,") REFERENCES ",Table!D192,","))),CONCATENATE(Table!A192," ",Table!C192,IF(ISBLANK(Table!B192),",",CONCATENATE(",CONSTRAINT ",Table!B192," FOREIGN KEY(",Table!A192,") REFERENCES ",Table!D192,",")))))</f>
        <v>amount DECIMAL(65,8) NOT NULL NOT NULL CHECK (amount&lt;&gt;''),</v>
      </c>
    </row>
    <row r="193" customFormat="false" ht="13.8" hidden="false" customHeight="false" outlineLevel="0" collapsed="false">
      <c r="A193" s="3" t="s">
        <v>53</v>
      </c>
      <c r="C193" s="0" t="s">
        <v>54</v>
      </c>
      <c r="E193" s="0" t="str">
        <f aca="false">IF(ISBLANK(Table!A193),")ENGINE=Innodb;",IF(ISBLANK(Table!A194),CONCATENATE(Table!A193," ",Table!C193,IF(ISBLANK(Table!B193),"",CONCATENATE(",CONSTRAINT ",Table!B193," FOREIGN KEY(",Table!A193,") REFERENCES ",Table!D193,","))),CONCATENATE(Table!A193," ",Table!C193,IF(ISBLANK(Table!B193),",",CONCATENATE(",CONSTRAINT ",Table!B193," FOREIGN KEY(",Table!A193,") REFERENCES ",Table!D193,",")))))</f>
        <v>total DECIMAL(65,8) NOT NULL NOT NULL CHECK (total&lt;&gt;'')</v>
      </c>
    </row>
    <row r="194" customFormat="false" ht="13.8" hidden="false" customHeight="false" outlineLevel="0" collapsed="false">
      <c r="E194" s="0" t="str">
        <f aca="false">IF(ISBLANK(Table!A194),")ENGINE=Innodb;",IF(ISBLANK(Table!A195),CONCATENATE(Table!A194," ",Table!C194,IF(ISBLANK(Table!B194),"",CONCATENATE(",CONSTRAINT ",Table!B194," FOREIGN KEY(",Table!A194,") REFERENCES ",Table!D194,","))),CONCATENATE(Table!A194," ",Table!C194,IF(ISBLANK(Table!B194),",",CONCATENATE(",CONSTRAINT ",Table!B194," FOREIGN KEY(",Table!A194,") REFERENCES ",Table!D194,",")))))</f>
        <v>)ENGINE=Innodb;</v>
      </c>
    </row>
    <row r="195" customFormat="false" ht="13.8" hidden="false" customHeight="false" outlineLevel="0" collapsed="false"/>
    <row r="196" customFormat="false" ht="13.8" hidden="false" customHeight="false" outlineLevel="0" collapsed="false"/>
    <row r="197" customFormat="false" ht="13.8" hidden="false" customHeight="false" outlineLevel="0" collapsed="false"/>
    <row r="198" customFormat="false" ht="13.8" hidden="false" customHeight="false" outlineLevel="0" collapsed="false">
      <c r="E198" s="0" t="str">
        <f aca="false">"DROP TABLE "&amp;Table!A199&amp;";"</f>
        <v>DROP TABLE bdb_bittrex;</v>
      </c>
    </row>
    <row r="199" customFormat="false" ht="13.8" hidden="false" customHeight="false" outlineLevel="0" collapsed="false">
      <c r="A199" s="1" t="s">
        <v>55</v>
      </c>
      <c r="E199" s="0" t="str">
        <f aca="false">CONCATENATE("CREATE TABLE ",Table!A199,"(")</f>
        <v>CREATE TABLE bdb_bittrex(</v>
      </c>
    </row>
    <row r="200" customFormat="false" ht="13.8" hidden="false" customHeight="false" outlineLevel="0" collapsed="false">
      <c r="A200" s="2" t="s">
        <v>1</v>
      </c>
      <c r="B200" s="0" t="str">
        <f aca="false">"pk_"&amp;Table!A200&amp;"_"&amp;Table!A199</f>
        <v>pk_id_bdb_bittrex</v>
      </c>
      <c r="C200" s="0" t="s">
        <v>40</v>
      </c>
      <c r="E200" s="0" t="str">
        <f aca="false">IF(ISBLANK(Table!A200),")ENGINE=MyIsam;",IF(ISBLANK(#REF!),CONCATENATE(Table!A200," ",Table!C200,IF(ISBLANK(Table!B200),"",CONCATENATE(",CONSTRAINT ",Table!B200," PRIMARY KEY(",Table!A200,")",Table!D200,","))),CONCATENATE(Table!A200," ",Table!C200,IF(ISBLANK(Table!B200),",",CONCATENATE(",CONSTRAINT ",Table!B200," PRIMARY KEY(",Table!A200,")",Table!D200,",")))))</f>
        <v>id CHAR(64) NOT NULL CHECK (id&lt;&gt;''),CONSTRAINT pk_id_bdb_bittrex PRIMARY KEY(id),</v>
      </c>
    </row>
    <row r="201" customFormat="false" ht="13.8" hidden="false" customHeight="false" outlineLevel="0" collapsed="false">
      <c r="A201" s="3" t="s">
        <v>41</v>
      </c>
      <c r="C201" s="0" t="s">
        <v>42</v>
      </c>
      <c r="E201" s="0" t="str">
        <f aca="false">IF(ISBLANK(Table!A201),")ENGINE=Innodb;",IF(ISBLANK(Table!A202),CONCATENATE(Table!A201," ",Table!C201,IF(ISBLANK(Table!B201),"",CONCATENATE(",CONSTRAINT ",Table!B201," FOREIGN KEY(",Table!A201,") REFERENCES ",Table!D201,","))),CONCATENATE(Table!A201," ",Table!C201,IF(ISBLANK(Table!B201),",",CONCATENATE(",CONSTRAINT ",Table!B201," FOREIGN KEY(",Table!A201,") REFERENCES ",Table!D201,",")))))</f>
        <v>idcurrency VARCHAR(50) NOT NULL NOT NULL CHECK (idcurrency&lt;&gt;''),</v>
      </c>
    </row>
    <row r="202" customFormat="false" ht="13.8" hidden="false" customHeight="false" outlineLevel="0" collapsed="false">
      <c r="A202" s="3" t="s">
        <v>5</v>
      </c>
      <c r="C202" s="0" t="s">
        <v>43</v>
      </c>
      <c r="E202" s="0" t="str">
        <f aca="false">IF(ISBLANK(Table!A202),")ENGINE=Innodb;",IF(ISBLANK(Table!A203),CONCATENATE(Table!A202," ",Table!C202,IF(ISBLANK(Table!B202),"",CONCATENATE(",CONSTRAINT ",Table!B202," FOREIGN KEY(",Table!A202,") REFERENCES ",Table!D202,","))),CONCATENATE(Table!A202," ",Table!C202,IF(ISBLANK(Table!B202),",",CONCATENATE(",CONSTRAINT ",Table!B202," FOREIGN KEY(",Table!A202,") REFERENCES ",Table!D202,",")))))</f>
        <v>currency VARCHAR(50) NOT NULL NOT NULL CHECK (currency&lt;&gt;''),</v>
      </c>
    </row>
    <row r="203" customFormat="false" ht="13.8" hidden="false" customHeight="false" outlineLevel="0" collapsed="false">
      <c r="A203" s="3" t="s">
        <v>6</v>
      </c>
      <c r="C203" s="0" t="s">
        <v>44</v>
      </c>
      <c r="E203" s="0" t="str">
        <f aca="false">IF(ISBLANK(Table!A203),")ENGINE=Innodb;",IF(ISBLANK(Table!A204),CONCATENATE(Table!A203," ",Table!C203,IF(ISBLANK(Table!B203),"",CONCATENATE(",CONSTRAINT ",Table!B203," FOREIGN KEY(",Table!A203,") REFERENCES ",Table!D203,","))),CONCATENATE(Table!A203," ",Table!C203,IF(ISBLANK(Table!B203),",",CONCATENATE(",CONSTRAINT ",Table!B203," FOREIGN KEY(",Table!A203,") REFERENCES ",Table!D203,",")))))</f>
        <v>alias_currency VARCHAR(100) NOT NULL NOT NULL CHECK (alias_currency&lt;&gt;''),</v>
      </c>
    </row>
    <row r="204" customFormat="false" ht="13.8" hidden="false" customHeight="false" outlineLevel="0" collapsed="false">
      <c r="A204" s="3" t="s">
        <v>45</v>
      </c>
      <c r="C204" s="0" t="s">
        <v>46</v>
      </c>
      <c r="E204" s="0" t="str">
        <f aca="false">IF(ISBLANK(Table!A204),")ENGINE=Innodb;",IF(ISBLANK(Table!A205),CONCATENATE(Table!A204," ",Table!C204,IF(ISBLANK(Table!B204),"",CONCATENATE(",CONSTRAINT ",Table!B204," FOREIGN KEY(",Table!A204,") REFERENCES ",Table!D204,","))),CONCATENATE(Table!A204," ",Table!C204,IF(ISBLANK(Table!B204),",",CONCATENATE(",CONSTRAINT ",Table!B204," FOREIGN KEY(",Table!A204,") REFERENCES ",Table!D204,",")))))</f>
        <v>date DATETIME NOT NULL NOT NULL CHECK (date&lt;&gt;''),</v>
      </c>
    </row>
    <row r="205" customFormat="false" ht="13.8" hidden="false" customHeight="false" outlineLevel="0" collapsed="false">
      <c r="A205" s="3" t="s">
        <v>47</v>
      </c>
      <c r="C205" s="0" t="s">
        <v>48</v>
      </c>
      <c r="E205" s="0" t="str">
        <f aca="false">IF(ISBLANK(Table!A205),")ENGINE=Innodb;",IF(ISBLANK(Table!A206),CONCATENATE(Table!A205," ",Table!C205,IF(ISBLANK(Table!B205),"",CONCATENATE(",CONSTRAINT ",Table!B205," FOREIGN KEY(",Table!A205,") REFERENCES ",Table!D205,","))),CONCATENATE(Table!A205," ",Table!C205,IF(ISBLANK(Table!B205),",",CONCATENATE(",CONSTRAINT ",Table!B205," FOREIGN KEY(",Table!A205,") REFERENCES ",Table!D205,",")))))</f>
        <v>type VARCHAR(4) NOT NULL NOT NULL CHECK (type&lt;&gt;''),</v>
      </c>
    </row>
    <row r="206" customFormat="false" ht="13.8" hidden="false" customHeight="false" outlineLevel="0" collapsed="false">
      <c r="A206" s="3" t="s">
        <v>49</v>
      </c>
      <c r="C206" s="0" t="s">
        <v>50</v>
      </c>
      <c r="E206" s="0" t="str">
        <f aca="false">IF(ISBLANK(Table!A206),")ENGINE=Innodb;",IF(ISBLANK(Table!A207),CONCATENATE(Table!A206," ",Table!C206,IF(ISBLANK(Table!B206),"",CONCATENATE(",CONSTRAINT ",Table!B206," FOREIGN KEY(",Table!A206,") REFERENCES ",Table!D206,","))),CONCATENATE(Table!A206," ",Table!C206,IF(ISBLANK(Table!B206),",",CONCATENATE(",CONSTRAINT ",Table!B206," FOREIGN KEY(",Table!A206,") REFERENCES ",Table!D206,",")))))</f>
        <v>rate DECIMAL(65,8) NOT NULL NOT NULL CHECK (rate&lt;&gt;''),</v>
      </c>
    </row>
    <row r="207" customFormat="false" ht="13.8" hidden="false" customHeight="false" outlineLevel="0" collapsed="false">
      <c r="A207" s="3" t="s">
        <v>51</v>
      </c>
      <c r="C207" s="0" t="s">
        <v>52</v>
      </c>
      <c r="E207" s="0" t="str">
        <f aca="false">IF(ISBLANK(Table!A207),")ENGINE=Innodb;",IF(ISBLANK(Table!A208),CONCATENATE(Table!A207," ",Table!C207,IF(ISBLANK(Table!B207),"",CONCATENATE(",CONSTRAINT ",Table!B207," FOREIGN KEY(",Table!A207,") REFERENCES ",Table!D207,","))),CONCATENATE(Table!A207," ",Table!C207,IF(ISBLANK(Table!B207),",",CONCATENATE(",CONSTRAINT ",Table!B207," FOREIGN KEY(",Table!A207,") REFERENCES ",Table!D207,",")))))</f>
        <v>amount DECIMAL(65,8) NOT NULL NOT NULL CHECK (amount&lt;&gt;''),</v>
      </c>
    </row>
    <row r="208" customFormat="false" ht="13.8" hidden="false" customHeight="false" outlineLevel="0" collapsed="false">
      <c r="A208" s="3" t="s">
        <v>53</v>
      </c>
      <c r="C208" s="0" t="s">
        <v>54</v>
      </c>
      <c r="E208" s="0" t="str">
        <f aca="false">IF(ISBLANK(Table!A208),")ENGINE=Innodb;",IF(ISBLANK(Table!A209),CONCATENATE(Table!A208," ",Table!C208,IF(ISBLANK(Table!B208),"",CONCATENATE(",CONSTRAINT ",Table!B208," FOREIGN KEY(",Table!A208,") REFERENCES ",Table!D208,","))),CONCATENATE(Table!A208," ",Table!C208,IF(ISBLANK(Table!B208),",",CONCATENATE(",CONSTRAINT ",Table!B208," FOREIGN KEY(",Table!A208,") REFERENCES ",Table!D208,",")))))</f>
        <v>total DECIMAL(65,8) NOT NULL NOT NULL CHECK (total&lt;&gt;'')</v>
      </c>
    </row>
    <row r="209" customFormat="false" ht="13.8" hidden="false" customHeight="false" outlineLevel="0" collapsed="false">
      <c r="E209" s="0" t="str">
        <f aca="false">IF(ISBLANK(Table!A209),")ENGINE=Innodb;",IF(ISBLANK(Table!A210),CONCATENATE(Table!A209," ",Table!C209,IF(ISBLANK(Table!B209),"",CONCATENATE(",CONSTRAINT ",Table!B209," FOREIGN KEY(",Table!A209,") REFERENCES ",Table!D209,","))),CONCATENATE(Table!A209," ",Table!C209,IF(ISBLANK(Table!B209),",",CONCATENATE(",CONSTRAINT ",Table!B209," FOREIGN KEY(",Table!A209,") REFERENCES ",Table!D209,",")))))</f>
        <v>)ENGINE=Innodb;</v>
      </c>
    </row>
    <row r="213" customFormat="false" ht="13.8" hidden="false" customHeight="false" outlineLevel="0" collapsed="false">
      <c r="E213" s="0" t="str">
        <f aca="false">"DROP TABLE "&amp;Table!A214&amp;";"</f>
        <v>DROP TABLE bitcointalk;</v>
      </c>
    </row>
    <row r="214" customFormat="false" ht="13.8" hidden="false" customHeight="false" outlineLevel="0" collapsed="false">
      <c r="A214" s="1" t="s">
        <v>56</v>
      </c>
      <c r="E214" s="0" t="str">
        <f aca="false">CONCATENATE("CREATE TABLE ",Table!A214,"(")</f>
        <v>CREATE TABLE bitcointalk(</v>
      </c>
    </row>
    <row r="215" customFormat="false" ht="13.8" hidden="false" customHeight="false" outlineLevel="0" collapsed="false">
      <c r="A215" s="2" t="s">
        <v>1</v>
      </c>
      <c r="B215" s="0" t="str">
        <f aca="false">"pk_"&amp;Table!A215&amp;"_"&amp;Table!A214</f>
        <v>pk_id_bitcointalk</v>
      </c>
      <c r="C215" s="0" t="s">
        <v>40</v>
      </c>
      <c r="E215" s="0" t="str">
        <f aca="false">IF(ISBLANK(Table!A215),")ENGINE=MyIsam;",IF(ISBLANK(#REF!),CONCATENATE(Table!A215," ",Table!C215,IF(ISBLANK(Table!B215),"",CONCATENATE(",CONSTRAINT ",Table!B215," PRIMARY KEY(",Table!A215,")",Table!D215,","))),CONCATENATE(Table!A215," ",Table!C215,IF(ISBLANK(Table!B215),",",CONCATENATE(",CONSTRAINT ",Table!B215," PRIMARY KEY(",Table!A215,")",Table!D215,",")))))</f>
        <v>id CHAR(64) NOT NULL CHECK (id&lt;&gt;''),CONSTRAINT pk_id_bitcointalk PRIMARY KEY(id),</v>
      </c>
    </row>
    <row r="216" customFormat="false" ht="13.8" hidden="false" customHeight="false" outlineLevel="0" collapsed="false">
      <c r="A216" s="3" t="s">
        <v>57</v>
      </c>
      <c r="C216" s="0" t="s">
        <v>58</v>
      </c>
      <c r="E216" s="0" t="str">
        <f aca="false">IF(ISBLANK(Table!A216),")ENGINE=Innodb;",IF(ISBLANK(Table!A217),CONCATENATE(Table!A216," ",Table!C216,IF(ISBLANK(Table!B216),"",CONCATENATE(",CONSTRAINT ",Table!B216," FOREIGN KEY(",Table!A216,") REFERENCES ",Table!D216,","))),CONCATENATE(Table!A216," ",Table!C216,IF(ISBLANK(Table!B216),",",CONCATENATE(",CONSTRAINT ",Table!B216," FOREIGN KEY(",Table!A216,") REFERENCES ",Table!D216,",")))))</f>
        <v>judul VARCHAR(10000) NOT NULL NOT NULL CHECK (judul&lt;&gt;''),</v>
      </c>
    </row>
    <row r="217" customFormat="false" ht="13.8" hidden="false" customHeight="false" outlineLevel="0" collapsed="false">
      <c r="A217" s="3" t="s">
        <v>18</v>
      </c>
      <c r="C217" s="0" t="s">
        <v>59</v>
      </c>
      <c r="E217" s="0" t="str">
        <f aca="false">IF(ISBLANK(Table!A217),")ENGINE=Innodb;",IF(ISBLANK(Table!A218),CONCATENATE(Table!A217," ",Table!C217,IF(ISBLANK(Table!B217),"",CONCATENATE(",CONSTRAINT ",Table!B217," FOREIGN KEY(",Table!A217,") REFERENCES ",Table!D217,","))),CONCATENATE(Table!A217," ",Table!C217,IF(ISBLANK(Table!B217),",",CONCATENATE(",CONSTRAINT ",Table!B217," FOREIGN KEY(",Table!A217,") REFERENCES ",Table!D217,",")))))</f>
        <v>link VARCHAR(10000) NOT NULL NOT NULL CHECK (link&lt;&gt;''),</v>
      </c>
    </row>
    <row r="218" customFormat="false" ht="13.8" hidden="false" customHeight="false" outlineLevel="0" collapsed="false">
      <c r="A218" s="3" t="s">
        <v>15</v>
      </c>
      <c r="C218" s="0" t="s">
        <v>60</v>
      </c>
      <c r="E218" s="0" t="str">
        <f aca="false">IF(ISBLANK(Table!A218),")ENGINE=Innodb;",IF(ISBLANK(Table!A219),CONCATENATE(Table!A218," ",Table!C218,IF(ISBLANK(Table!B218),"",CONCATENATE(",CONSTRAINT ",Table!B218," FOREIGN KEY(",Table!A218,") REFERENCES ",Table!D218,","))),CONCATENATE(Table!A218," ",Table!C218,IF(ISBLANK(Table!B218),",",CONCATENATE(",CONSTRAINT ",Table!B218," FOREIGN KEY(",Table!A218,") REFERENCES ",Table!D218,",")))))</f>
        <v>date_input DATETIME NOT NULL NOT NULL CHECK (date_input&lt;&gt;''),</v>
      </c>
    </row>
    <row r="219" customFormat="false" ht="13.8" hidden="false" customHeight="false" outlineLevel="0" collapsed="false">
      <c r="A219" s="3" t="s">
        <v>61</v>
      </c>
      <c r="C219" s="0" t="s">
        <v>62</v>
      </c>
      <c r="E219" s="0" t="str">
        <f aca="false">IF(ISBLANK(Table!A219),")ENGINE=Innodb;",IF(ISBLANK(Table!A220),CONCATENATE(Table!A219," ",Table!C219,IF(ISBLANK(Table!B219),"",CONCATENATE(",CONSTRAINT ",Table!B219," FOREIGN KEY(",Table!A219,") REFERENCES ",Table!D219,","))),CONCATENATE(Table!A219," ",Table!C219,IF(ISBLANK(Table!B219),",",CONCATENATE(",CONSTRAINT ",Table!B219," FOREIGN KEY(",Table!A219,") REFERENCES ",Table!D219,",")))))</f>
        <v>twitter VARCHAR(200),</v>
      </c>
    </row>
    <row r="220" customFormat="false" ht="13.8" hidden="false" customHeight="false" outlineLevel="0" collapsed="false">
      <c r="A220" s="3" t="s">
        <v>63</v>
      </c>
      <c r="C220" s="0" t="s">
        <v>62</v>
      </c>
      <c r="E220" s="0" t="str">
        <f aca="false">IF(ISBLANK(Table!A220),")ENGINE=Innodb;",IF(ISBLANK(Table!A221),CONCATENATE(Table!A220," ",Table!C220,IF(ISBLANK(Table!B220),"",CONCATENATE(",CONSTRAINT ",Table!B220," FOREIGN KEY(",Table!A220,") REFERENCES ",Table!D220,","))),CONCATENATE(Table!A220," ",Table!C220,IF(ISBLANK(Table!B220),",",CONCATENATE(",CONSTRAINT ",Table!B220," FOREIGN KEY(",Table!A220,") REFERENCES ",Table!D220,",")))))</f>
        <v>slack VARCHAR(200),</v>
      </c>
    </row>
    <row r="221" customFormat="false" ht="13.8" hidden="false" customHeight="false" outlineLevel="0" collapsed="false">
      <c r="A221" s="3" t="s">
        <v>64</v>
      </c>
      <c r="C221" s="0" t="s">
        <v>62</v>
      </c>
      <c r="E221" s="0" t="str">
        <f aca="false">IF(ISBLANK(Table!A221),")ENGINE=Innodb;",IF(ISBLANK(Table!A222),CONCATENATE(Table!A221," ",Table!C221,IF(ISBLANK(Table!B221),"",CONCATENATE(",CONSTRAINT ",Table!B221," FOREIGN KEY(",Table!A221,") REFERENCES ",Table!D221,","))),CONCATENATE(Table!A221," ",Table!C221,IF(ISBLANK(Table!B221),",",CONCATENATE(",CONSTRAINT ",Table!B221," FOREIGN KEY(",Table!A221,") REFERENCES ",Table!D221,",")))))</f>
        <v>facebook VARCHAR(200),</v>
      </c>
    </row>
    <row r="222" customFormat="false" ht="13.8" hidden="false" customHeight="false" outlineLevel="0" collapsed="false">
      <c r="A222" s="0" t="s">
        <v>65</v>
      </c>
      <c r="C222" s="0" t="s">
        <v>62</v>
      </c>
      <c r="E222" s="0" t="str">
        <f aca="false">IF(ISBLANK(Table!A222),")ENGINE=Innodb;",IF(ISBLANK(Table!A223),CONCATENATE(Table!A222," ",Table!C222,IF(ISBLANK(Table!B222),"",CONCATENATE(",CONSTRAINT ",Table!B222," FOREIGN KEY(",Table!A222,") REFERENCES ",Table!D222,","))),CONCATENATE(Table!A222," ",Table!C222,IF(ISBLANK(Table!B222),",",CONCATENATE(",CONSTRAINT ",Table!B222," FOREIGN KEY(",Table!A222,") REFERENCES ",Table!D222,",")))))</f>
        <v>website VARCHAR(200)</v>
      </c>
    </row>
    <row r="223" customFormat="false" ht="13.8" hidden="false" customHeight="false" outlineLevel="0" collapsed="false">
      <c r="E223" s="0" t="str">
        <f aca="false">IF(ISBLANK(Table!A223),")ENGINE=Innodb;",IF(ISBLANK(Table!A224),CONCATENATE(Table!A223," ",Table!C223,IF(ISBLANK(Table!B223),"",CONCATENATE(",CONSTRAINT ",Table!B223," FOREIGN KEY(",Table!A223,") REFERENCES ",Table!D223,","))),CONCATENATE(Table!A223," ",Table!C223,IF(ISBLANK(Table!B223),",",CONCATENATE(",CONSTRAINT ",Table!B223," FOREIGN KEY(",Table!A223,") REFERENCES ",Table!D223,",")))))</f>
        <v>)ENGINE=Innodb;</v>
      </c>
    </row>
    <row r="224" customFormat="false" ht="13.8" hidden="false" customHeight="false" outlineLevel="0" collapsed="false"/>
    <row r="225" customFormat="false" ht="13.8" hidden="false" customHeight="false" outlineLevel="0" collapsed="false"/>
    <row r="226" customFormat="false" ht="13.8" hidden="false" customHeight="false" outlineLevel="0" collapsed="false"/>
    <row r="227" customFormat="false" ht="13.8" hidden="false" customHeight="false" outlineLevel="0" collapsed="false"/>
    <row r="228" customFormat="false" ht="13.8" hidden="false" customHeight="false" outlineLevel="0" collapsed="false"/>
    <row r="229" customFormat="false" ht="13.8" hidden="false" customHeight="false" outlineLevel="0" collapsed="false"/>
    <row r="230" customFormat="false" ht="13.8" hidden="false" customHeight="false" outlineLevel="0" collapsed="false">
      <c r="E230" s="0" t="str">
        <f aca="false">"DROP TABLE "&amp;Table!A231&amp;";"</f>
        <v>DROP TABLE bitcointalk_kontak;</v>
      </c>
    </row>
    <row r="231" customFormat="false" ht="13.8" hidden="false" customHeight="false" outlineLevel="0" collapsed="false">
      <c r="A231" s="1" t="s">
        <v>66</v>
      </c>
      <c r="E231" s="0" t="str">
        <f aca="false">CONCATENATE("CREATE TABLE ",Table!A231,"(")</f>
        <v>CREATE TABLE bitcointalk_kontak(</v>
      </c>
    </row>
    <row r="232" customFormat="false" ht="13.8" hidden="false" customHeight="false" outlineLevel="0" collapsed="false">
      <c r="A232" s="3" t="s">
        <v>18</v>
      </c>
      <c r="B232" s="0" t="s">
        <v>67</v>
      </c>
      <c r="C232" s="0" t="s">
        <v>68</v>
      </c>
      <c r="E232" s="0" t="str">
        <f aca="false">IF(ISBLANK(Table!A232),")ENGINE=MyIsam;",IF(ISBLANK(#REF!),CONCATENATE(Table!A232," ",Table!C232,IF(ISBLANK(Table!B232),"",CONCATENATE(",CONSTRAINT ",Table!B232," PRIMARY KEY(",Table!A232,")",Table!D232,","))),CONCATENATE(Table!A232," ",Table!C232,IF(ISBLANK(Table!B232),",",CONCATENATE(",CONSTRAINT ",Table!B232," PRIMARY KEY(",Table!A232,")",Table!D232,",")))))</f>
        <v>link VARCHAR(222) NOT NULL CHECK (link&lt;&gt;''),CONSTRAINT pk_bit PRIMARY KEY(link),</v>
      </c>
    </row>
    <row r="233" customFormat="false" ht="13.8" hidden="false" customHeight="false" outlineLevel="0" collapsed="false">
      <c r="A233" s="3" t="s">
        <v>61</v>
      </c>
      <c r="C233" s="0" t="s">
        <v>62</v>
      </c>
      <c r="E233" s="0" t="str">
        <f aca="false">IF(ISBLANK(Table!A233),")ENGINE=Innodb;",IF(ISBLANK(Table!A234),CONCATENATE(Table!A233," ",Table!C233,IF(ISBLANK(Table!B233),"",CONCATENATE(",CONSTRAINT ",Table!B233," FOREIGN KEY(",Table!A233,") REFERENCES ",Table!D233,","))),CONCATENATE(Table!A233," ",Table!C233,IF(ISBLANK(Table!B233),",",CONCATENATE(",CONSTRAINT ",Table!B233," FOREIGN KEY(",Table!A233,") REFERENCES ",Table!D233,",")))))</f>
        <v>twitter VARCHAR(200),</v>
      </c>
    </row>
    <row r="234" customFormat="false" ht="13.8" hidden="false" customHeight="false" outlineLevel="0" collapsed="false">
      <c r="A234" s="3" t="s">
        <v>63</v>
      </c>
      <c r="C234" s="0" t="s">
        <v>62</v>
      </c>
      <c r="E234" s="0" t="str">
        <f aca="false">IF(ISBLANK(Table!A234),")ENGINE=Innodb;",IF(ISBLANK(Table!A235),CONCATENATE(Table!A234," ",Table!C234,IF(ISBLANK(Table!B234),"",CONCATENATE(",CONSTRAINT ",Table!B234," FOREIGN KEY(",Table!A234,") REFERENCES ",Table!D234,","))),CONCATENATE(Table!A234," ",Table!C234,IF(ISBLANK(Table!B234),",",CONCATENATE(",CONSTRAINT ",Table!B234," FOREIGN KEY(",Table!A234,") REFERENCES ",Table!D234,",")))))</f>
        <v>slack VARCHAR(200),</v>
      </c>
    </row>
    <row r="235" customFormat="false" ht="13.8" hidden="false" customHeight="false" outlineLevel="0" collapsed="false">
      <c r="A235" s="3" t="s">
        <v>64</v>
      </c>
      <c r="C235" s="0" t="s">
        <v>62</v>
      </c>
      <c r="E235" s="0" t="str">
        <f aca="false">IF(ISBLANK(Table!A235),")ENGINE=Innodb;",IF(ISBLANK(Table!A236),CONCATENATE(Table!A235," ",Table!C235,IF(ISBLANK(Table!B235),"",CONCATENATE(",CONSTRAINT ",Table!B235," FOREIGN KEY(",Table!A235,") REFERENCES ",Table!D235,","))),CONCATENATE(Table!A235," ",Table!C235,IF(ISBLANK(Table!B235),",",CONCATENATE(",CONSTRAINT ",Table!B235," FOREIGN KEY(",Table!A235,") REFERENCES ",Table!D235,",")))))</f>
        <v>facebook VARCHAR(200),</v>
      </c>
    </row>
    <row r="236" customFormat="false" ht="13.8" hidden="false" customHeight="false" outlineLevel="0" collapsed="false">
      <c r="A236" s="0" t="s">
        <v>65</v>
      </c>
      <c r="C236" s="0" t="s">
        <v>62</v>
      </c>
      <c r="E236" s="0" t="str">
        <f aca="false">IF(ISBLANK(Table!A236),")ENGINE=Innodb;",IF(ISBLANK(Table!A237),CONCATENATE(Table!A236," ",Table!C236,IF(ISBLANK(Table!B236),"",CONCATENATE(",CONSTRAINT ",Table!B236," FOREIGN KEY(",Table!A236,") REFERENCES ",Table!D236,","))),CONCATENATE(Table!A236," ",Table!C236,IF(ISBLANK(Table!B236),",",CONCATENATE(",CONSTRAINT ",Table!B236," FOREIGN KEY(",Table!A236,") REFERENCES ",Table!D236,",")))))</f>
        <v>website VARCHAR(200)</v>
      </c>
    </row>
    <row r="237" customFormat="false" ht="13.8" hidden="false" customHeight="false" outlineLevel="0" collapsed="false">
      <c r="E237" s="0" t="str">
        <f aca="false">IF(ISBLANK(Table!A237),")ENGINE=Innodb;",IF(ISBLANK(Table!A238),CONCATENATE(Table!A237," ",Table!C237,IF(ISBLANK(Table!B237),"",CONCATENATE(",CONSTRAINT ",Table!B237," FOREIGN KEY(",Table!A237,") REFERENCES ",Table!D237,","))),CONCATENATE(Table!A237," ",Table!C237,IF(ISBLANK(Table!B237),",",CONCATENATE(",CONSTRAINT ",Table!B237," FOREIGN KEY(",Table!A237,") REFERENCES ",Table!D237,",")))))</f>
        <v>)ENGINE=Innodb;</v>
      </c>
    </row>
    <row r="241" customFormat="false" ht="13.8" hidden="false" customHeight="false" outlineLevel="0" collapsed="false">
      <c r="E241" s="0" t="str">
        <f aca="false">"DROP TABLE "&amp;Table!A242&amp;";"</f>
        <v>DROP TABLE savecoin;</v>
      </c>
    </row>
    <row r="242" customFormat="false" ht="13.8" hidden="false" customHeight="false" outlineLevel="0" collapsed="false">
      <c r="A242" s="1" t="s">
        <v>69</v>
      </c>
      <c r="E242" s="0" t="str">
        <f aca="false">CONCATENATE("CREATE TABLE ",Table!A242,"(")</f>
        <v>CREATE TABLE savecoin(</v>
      </c>
    </row>
    <row r="243" customFormat="false" ht="13.8" hidden="false" customHeight="false" outlineLevel="0" collapsed="false">
      <c r="A243" s="2" t="s">
        <v>1</v>
      </c>
      <c r="B243" s="0" t="s">
        <v>70</v>
      </c>
      <c r="C243" s="0" t="s">
        <v>40</v>
      </c>
      <c r="E243" s="0" t="str">
        <f aca="false">IF(ISBLANK(Table!A243),")ENGINE=MyIsam;",IF(ISBLANK(#REF!),CONCATENATE(Table!A243," ",Table!C243,IF(ISBLANK(Table!B243),"",CONCATENATE(",CONSTRAINT ",Table!B243," PRIMARY KEY(",Table!A243,")",Table!D243,","))),CONCATENATE(Table!A243," ",Table!C243,IF(ISBLANK(Table!B243),",",CONCATENATE(",CONSTRAINT ",Table!B243," PRIMARY KEY(",Table!A243,")",Table!D243,",")))))</f>
        <v>id CHAR(64) NOT NULL CHECK (id&lt;&gt;''),CONSTRAINT pk_savecoin PRIMARY KEY(id),</v>
      </c>
    </row>
    <row r="244" customFormat="false" ht="13.8" hidden="false" customHeight="false" outlineLevel="0" collapsed="false">
      <c r="A244" s="3" t="s">
        <v>71</v>
      </c>
      <c r="C244" s="0" t="s">
        <v>72</v>
      </c>
      <c r="E244" s="0" t="str">
        <f aca="false">IF(ISBLANK(Table!A244),")ENGINE=Innodb;",IF(ISBLANK(Table!A245),CONCATENATE(Table!A244," ",Table!C244,IF(ISBLANK(Table!B244),"",CONCATENATE(",CONSTRAINT ",Table!B244," FOREIGN KEY(",Table!A244,") REFERENCES ",Table!D244,","))),CONCATENATE(Table!A244," ",Table!C244,IF(ISBLANK(Table!B244),",",CONCATENATE(",CONSTRAINT ",Table!B244," FOREIGN KEY(",Table!A244,") REFERENCES ",Table!D244,",")))))</f>
        <v>idcoin VARCHAR(100) NOT NULL DEFAULT '1',</v>
      </c>
    </row>
    <row r="245" customFormat="false" ht="13.8" hidden="false" customHeight="false" outlineLevel="0" collapsed="false">
      <c r="A245" s="3" t="s">
        <v>73</v>
      </c>
      <c r="C245" s="0" t="s">
        <v>72</v>
      </c>
      <c r="E245" s="0" t="str">
        <f aca="false">IF(ISBLANK(Table!A245),")ENGINE=Innodb;",IF(ISBLANK(Table!A246),CONCATENATE(Table!A245," ",Table!C245,IF(ISBLANK(Table!B245),"",CONCATENATE(",CONSTRAINT ",Table!B245," FOREIGN KEY(",Table!A245,") REFERENCES ",Table!D245,","))),CONCATENATE(Table!A245," ",Table!C245,IF(ISBLANK(Table!B245),",",CONCATENATE(",CONSTRAINT ",Table!B245," FOREIGN KEY(",Table!A245,") REFERENCES ",Table!D245,",")))))</f>
        <v>lkkoin VARCHAR(100) NOT NULL DEFAULT '1',</v>
      </c>
    </row>
    <row r="246" customFormat="false" ht="13.8" hidden="false" customHeight="false" outlineLevel="0" collapsed="false">
      <c r="A246" s="3" t="s">
        <v>74</v>
      </c>
      <c r="C246" s="0" t="s">
        <v>72</v>
      </c>
      <c r="E246" s="0" t="str">
        <f aca="false">IF(ISBLANK(Table!A246),")ENGINE=Innodb;",IF(ISBLANK(Table!A247),CONCATENATE(Table!A246," ",Table!C246,IF(ISBLANK(Table!B246),"",CONCATENATE(",CONSTRAINT ",Table!B246," FOREIGN KEY(",Table!A246,") REFERENCES ",Table!D246,","))),CONCATENATE(Table!A246," ",Table!C246,IF(ISBLANK(Table!B246),",",CONCATENATE(",CONSTRAINT ",Table!B246," FOREIGN KEY(",Table!A246,") REFERENCES ",Table!D246,",")))))</f>
        <v>exchange VARCHAR(100) NOT NULL DEFAULT '1',</v>
      </c>
    </row>
    <row r="247" customFormat="false" ht="13.8" hidden="false" customHeight="false" outlineLevel="0" collapsed="false">
      <c r="A247" s="3" t="s">
        <v>18</v>
      </c>
      <c r="C247" s="0" t="s">
        <v>72</v>
      </c>
      <c r="E247" s="0" t="str">
        <f aca="false">IF(ISBLANK(Table!A247),")ENGINE=Innodb;",IF(ISBLANK(Table!A248),CONCATENATE(Table!A247," ",Table!C247,IF(ISBLANK(Table!B247),"",CONCATENATE(",CONSTRAINT ",Table!B247," FOREIGN KEY(",Table!A247,") REFERENCES ",Table!D247,","))),CONCATENATE(Table!A247," ",Table!C247,IF(ISBLANK(Table!B247),",",CONCATENATE(",CONSTRAINT ",Table!B247," FOREIGN KEY(",Table!A247,") REFERENCES ",Table!D247,",")))))</f>
        <v>link VARCHAR(100) NOT NULL DEFAULT '1',</v>
      </c>
    </row>
    <row r="248" customFormat="false" ht="13.8" hidden="false" customHeight="false" outlineLevel="0" collapsed="false">
      <c r="A248" s="3" t="s">
        <v>15</v>
      </c>
      <c r="C248" s="0" t="s">
        <v>75</v>
      </c>
      <c r="E248" s="0" t="str">
        <f aca="false">IF(ISBLANK(Table!A248),")ENGINE=Innodb;",IF(ISBLANK(Table!A249),CONCATENATE(Table!A248," ",Table!C248,IF(ISBLANK(Table!B248),"",CONCATENATE(",CONSTRAINT ",Table!B248," FOREIGN KEY(",Table!A248,") REFERENCES ",Table!D248,","))),CONCATENATE(Table!A248," ",Table!C248,IF(ISBLANK(Table!B248),",",CONCATENATE(",CONSTRAINT ",Table!B248," FOREIGN KEY(",Table!A248,") REFERENCES ",Table!D248,",")))))</f>
        <v>date_input DATETIME NOT NULL DEFAULT NOW()</v>
      </c>
    </row>
    <row r="249" customFormat="false" ht="13.8" hidden="false" customHeight="false" outlineLevel="0" collapsed="false">
      <c r="E249" s="0" t="str">
        <f aca="false">IF(ISBLANK(Table!A249),")ENGINE=Innodb;",IF(ISBLANK(Table!A250),CONCATENATE(Table!A249," ",Table!C249,IF(ISBLANK(Table!B249),"",CONCATENATE(",CONSTRAINT ",Table!B249," FOREIGN KEY(",Table!A249,") REFERENCES ",Table!D249,","))),CONCATENATE(Table!A249," ",Table!C249,IF(ISBLANK(Table!B249),",",CONCATENATE(",CONSTRAINT ",Table!B249," FOREIGN KEY(",Table!A249,") REFERENCES ",Table!D249,",")))))</f>
        <v>)ENGINE=Innodb;</v>
      </c>
    </row>
    <row r="250" customFormat="false" ht="13.8" hidden="false" customHeight="false" outlineLevel="0" collapsed="false"/>
    <row r="254" customFormat="false" ht="13.8" hidden="false" customHeight="false" outlineLevel="0" collapsed="false">
      <c r="E254" s="0" t="str">
        <f aca="false">"DROP TABLE "&amp;Table!A255&amp;";"</f>
        <v>DROP TABLE savecoinx;</v>
      </c>
    </row>
    <row r="255" customFormat="false" ht="13.8" hidden="false" customHeight="false" outlineLevel="0" collapsed="false">
      <c r="A255" s="1" t="s">
        <v>76</v>
      </c>
      <c r="E255" s="0" t="str">
        <f aca="false">CONCATENATE("CREATE TABLE ",Table!A255,"(")</f>
        <v>CREATE TABLE savecoinx(</v>
      </c>
    </row>
    <row r="256" customFormat="false" ht="13.8" hidden="false" customHeight="false" outlineLevel="0" collapsed="false">
      <c r="A256" s="2" t="s">
        <v>77</v>
      </c>
      <c r="C256" s="0" t="s">
        <v>78</v>
      </c>
      <c r="E256" s="0" t="str">
        <f aca="false">IF(ISBLANK(Table!A256),")ENGINE=MyIsam;",IF(ISBLANK(#REF!),CONCATENATE(Table!A256," ",Table!C256,IF(ISBLANK(Table!B256),"",CONCATENATE(",CONSTRAINT ",Table!B256," PRIMARY KEY(",Table!A256,")",Table!D256,","))),CONCATENATE(Table!A256," ",Table!C256,IF(ISBLANK(Table!B256),",",CONCATENATE(",CONSTRAINT ",Table!B256," PRIMARY KEY(",Table!A256,")",Table!D256,",")))))</f>
        <v>coin VARCHAR(64),</v>
      </c>
    </row>
    <row r="257" customFormat="false" ht="13.8" hidden="false" customHeight="false" outlineLevel="0" collapsed="false">
      <c r="A257" s="3" t="s">
        <v>79</v>
      </c>
      <c r="C257" s="0" t="s">
        <v>7</v>
      </c>
      <c r="E257" s="0" t="str">
        <f aca="false">IF(ISBLANK(Table!A257),")ENGINE=Innodb;",IF(ISBLANK(Table!A258),CONCATENATE(Table!A257," ",Table!C257,IF(ISBLANK(Table!B257),"",CONCATENATE(",CONSTRAINT ",Table!B257," FOREIGN KEY(",Table!A257,") REFERENCES ",Table!D257,","))),CONCATENATE(Table!A257," ",Table!C257,IF(ISBLANK(Table!B257),",",CONCATENATE(",CONSTRAINT ",Table!B257," FOREIGN KEY(",Table!A257,") REFERENCES ",Table!D257,",")))))</f>
        <v>nmlengkap VARCHAR(100)</v>
      </c>
    </row>
    <row r="258" customFormat="false" ht="13.8" hidden="false" customHeight="false" outlineLevel="0" collapsed="false">
      <c r="A258" s="3"/>
      <c r="E258" s="0" t="str">
        <f aca="false">IF(ISBLANK(Table!A258),")ENGINE=Innodb;",IF(ISBLANK(Table!A259),CONCATENATE(Table!A258," ",Table!C258,IF(ISBLANK(Table!B258),"",CONCATENATE(",CONSTRAINT ",Table!B258," FOREIGN KEY(",Table!A258,") REFERENCES ",Table!D258,","))),CONCATENATE(Table!A258," ",Table!C258,IF(ISBLANK(Table!B258),",",CONCATENATE(",CONSTRAINT ",Table!B258," FOREIGN KEY(",Table!A258,") REFERENCES ",Table!D258,",")))))</f>
        <v>)ENGINE=Innodb;</v>
      </c>
    </row>
    <row r="259" customFormat="false" ht="13.8" hidden="false" customHeight="false" outlineLevel="0" collapsed="false">
      <c r="A259" s="3"/>
    </row>
    <row r="260" customFormat="false" ht="13.8" hidden="false" customHeight="false" outlineLevel="0" collapsed="false">
      <c r="A260" s="3"/>
    </row>
    <row r="261" customFormat="false" ht="13.8" hidden="false" customHeight="false" outlineLevel="0" collapsed="false">
      <c r="A261" s="3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71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7" activeCellId="0" sqref="A7"/>
    </sheetView>
  </sheetViews>
  <sheetFormatPr defaultRowHeight="15"/>
  <cols>
    <col collapsed="false" hidden="false" max="1" min="1" style="0" width="55.4795918367347"/>
    <col collapsed="false" hidden="false" max="1025" min="2" style="0" width="8.36734693877551"/>
  </cols>
  <sheetData>
    <row r="1" customFormat="false" ht="15.75" hidden="false" customHeight="false" outlineLevel="0" collapsed="false">
      <c r="A1" s="4" t="s">
        <v>80</v>
      </c>
    </row>
    <row r="2" customFormat="false" ht="15" hidden="false" customHeight="false" outlineLevel="0" collapsed="false">
      <c r="A2" s="0" t="s">
        <v>81</v>
      </c>
    </row>
    <row r="3" customFormat="false" ht="15" hidden="false" customHeight="false" outlineLevel="0" collapsed="false">
      <c r="A3" s="0" t="s">
        <v>82</v>
      </c>
    </row>
    <row r="4" customFormat="false" ht="15" hidden="false" customHeight="false" outlineLevel="0" collapsed="false">
      <c r="A4" s="0" t="s">
        <v>83</v>
      </c>
    </row>
    <row r="5" customFormat="false" ht="15" hidden="false" customHeight="false" outlineLevel="0" collapsed="false">
      <c r="A5" s="0" t="s">
        <v>84</v>
      </c>
    </row>
    <row r="6" customFormat="false" ht="15" hidden="false" customHeight="false" outlineLevel="0" collapsed="false">
      <c r="A6" s="0" t="s">
        <v>85</v>
      </c>
    </row>
    <row r="7" customFormat="false" ht="15" hidden="false" customHeight="false" outlineLevel="0" collapsed="false">
      <c r="A7" s="0" t="s">
        <v>86</v>
      </c>
    </row>
    <row r="8" customFormat="false" ht="15" hidden="false" customHeight="false" outlineLevel="0" collapsed="false">
      <c r="A8" s="0" t="s">
        <v>87</v>
      </c>
    </row>
    <row r="9" customFormat="false" ht="15" hidden="false" customHeight="false" outlineLevel="0" collapsed="false">
      <c r="A9" s="0" t="s">
        <v>88</v>
      </c>
    </row>
    <row r="10" customFormat="false" ht="15" hidden="false" customHeight="false" outlineLevel="0" collapsed="false">
      <c r="A10" s="0" t="s">
        <v>89</v>
      </c>
    </row>
    <row r="11" customFormat="false" ht="15" hidden="false" customHeight="false" outlineLevel="0" collapsed="false">
      <c r="A11" s="0" t="s">
        <v>90</v>
      </c>
    </row>
    <row r="12" customFormat="false" ht="15" hidden="false" customHeight="false" outlineLevel="0" collapsed="false">
      <c r="A12" s="0" t="s">
        <v>91</v>
      </c>
    </row>
    <row r="13" customFormat="false" ht="15" hidden="false" customHeight="false" outlineLevel="0" collapsed="false">
      <c r="A13" s="0" t="s">
        <v>92</v>
      </c>
    </row>
    <row r="14" customFormat="false" ht="15" hidden="false" customHeight="false" outlineLevel="0" collapsed="false">
      <c r="A14" s="0" t="s">
        <v>93</v>
      </c>
    </row>
    <row r="17" customFormat="false" ht="15.75" hidden="false" customHeight="false" outlineLevel="0" collapsed="false"/>
    <row r="18" customFormat="false" ht="15.75" hidden="false" customHeight="false" outlineLevel="0" collapsed="false">
      <c r="A18" s="4" t="s">
        <v>94</v>
      </c>
    </row>
    <row r="19" customFormat="false" ht="15" hidden="false" customHeight="false" outlineLevel="0" collapsed="false">
      <c r="A19" s="0" t="s">
        <v>95</v>
      </c>
    </row>
    <row r="20" customFormat="false" ht="15" hidden="false" customHeight="false" outlineLevel="0" collapsed="false">
      <c r="A20" s="0" t="s">
        <v>82</v>
      </c>
    </row>
    <row r="21" customFormat="false" ht="15" hidden="false" customHeight="false" outlineLevel="0" collapsed="false">
      <c r="A21" s="0" t="s">
        <v>96</v>
      </c>
    </row>
    <row r="22" customFormat="false" ht="15" hidden="false" customHeight="false" outlineLevel="0" collapsed="false">
      <c r="A22" s="0" t="s">
        <v>97</v>
      </c>
    </row>
    <row r="23" customFormat="false" ht="15" hidden="false" customHeight="false" outlineLevel="0" collapsed="false">
      <c r="A23" s="0" t="s">
        <v>85</v>
      </c>
    </row>
    <row r="24" customFormat="false" ht="15" hidden="false" customHeight="false" outlineLevel="0" collapsed="false">
      <c r="A24" s="0" t="s">
        <v>98</v>
      </c>
    </row>
    <row r="25" customFormat="false" ht="15" hidden="false" customHeight="false" outlineLevel="0" collapsed="false">
      <c r="A25" s="0" t="s">
        <v>99</v>
      </c>
    </row>
    <row r="26" customFormat="false" ht="15" hidden="false" customHeight="false" outlineLevel="0" collapsed="false">
      <c r="A26" s="0" t="s">
        <v>100</v>
      </c>
    </row>
    <row r="27" customFormat="false" ht="15" hidden="false" customHeight="false" outlineLevel="0" collapsed="false">
      <c r="A27" s="0" t="s">
        <v>101</v>
      </c>
    </row>
    <row r="28" customFormat="false" ht="15" hidden="false" customHeight="false" outlineLevel="0" collapsed="false">
      <c r="A28" s="0" t="s">
        <v>90</v>
      </c>
    </row>
    <row r="29" customFormat="false" ht="15" hidden="false" customHeight="false" outlineLevel="0" collapsed="false">
      <c r="A29" s="0" t="s">
        <v>91</v>
      </c>
    </row>
    <row r="30" customFormat="false" ht="15" hidden="false" customHeight="false" outlineLevel="0" collapsed="false">
      <c r="A30" s="0" t="s">
        <v>92</v>
      </c>
    </row>
    <row r="31" customFormat="false" ht="15" hidden="false" customHeight="false" outlineLevel="0" collapsed="false">
      <c r="A31" s="0" t="s">
        <v>93</v>
      </c>
    </row>
    <row r="34" customFormat="false" ht="15.75" hidden="false" customHeight="false" outlineLevel="0" collapsed="false"/>
    <row r="35" customFormat="false" ht="15.75" hidden="false" customHeight="false" outlineLevel="0" collapsed="false">
      <c r="A35" s="4" t="s">
        <v>102</v>
      </c>
    </row>
    <row r="36" customFormat="false" ht="15" hidden="false" customHeight="false" outlineLevel="0" collapsed="false">
      <c r="A36" s="0" t="s">
        <v>103</v>
      </c>
    </row>
    <row r="37" customFormat="false" ht="15" hidden="false" customHeight="false" outlineLevel="0" collapsed="false">
      <c r="A37" s="0" t="s">
        <v>82</v>
      </c>
    </row>
    <row r="38" customFormat="false" ht="15" hidden="false" customHeight="false" outlineLevel="0" collapsed="false">
      <c r="A38" s="0" t="s">
        <v>104</v>
      </c>
    </row>
    <row r="39" customFormat="false" ht="15" hidden="false" customHeight="false" outlineLevel="0" collapsed="false">
      <c r="A39" s="0" t="s">
        <v>105</v>
      </c>
    </row>
    <row r="40" customFormat="false" ht="15" hidden="false" customHeight="false" outlineLevel="0" collapsed="false">
      <c r="A40" s="0" t="s">
        <v>85</v>
      </c>
    </row>
    <row r="41" customFormat="false" ht="15" hidden="false" customHeight="false" outlineLevel="0" collapsed="false">
      <c r="A41" s="0" t="s">
        <v>106</v>
      </c>
    </row>
    <row r="42" customFormat="false" ht="15" hidden="false" customHeight="false" outlineLevel="0" collapsed="false">
      <c r="A42" s="0" t="s">
        <v>107</v>
      </c>
    </row>
    <row r="43" customFormat="false" ht="15" hidden="false" customHeight="false" outlineLevel="0" collapsed="false">
      <c r="A43" s="0" t="s">
        <v>108</v>
      </c>
    </row>
    <row r="44" customFormat="false" ht="15" hidden="false" customHeight="false" outlineLevel="0" collapsed="false">
      <c r="A44" s="0" t="s">
        <v>109</v>
      </c>
    </row>
    <row r="45" customFormat="false" ht="15" hidden="false" customHeight="false" outlineLevel="0" collapsed="false">
      <c r="A45" s="0" t="s">
        <v>110</v>
      </c>
    </row>
    <row r="46" customFormat="false" ht="15" hidden="false" customHeight="false" outlineLevel="0" collapsed="false">
      <c r="A46" s="0" t="s">
        <v>111</v>
      </c>
    </row>
    <row r="47" customFormat="false" ht="15" hidden="false" customHeight="false" outlineLevel="0" collapsed="false">
      <c r="A47" s="0" t="s">
        <v>112</v>
      </c>
    </row>
    <row r="48" customFormat="false" ht="15" hidden="false" customHeight="false" outlineLevel="0" collapsed="false">
      <c r="A48" s="0" t="s">
        <v>90</v>
      </c>
    </row>
    <row r="49" customFormat="false" ht="15" hidden="false" customHeight="false" outlineLevel="0" collapsed="false">
      <c r="A49" s="0" t="s">
        <v>113</v>
      </c>
    </row>
    <row r="50" customFormat="false" ht="15" hidden="false" customHeight="false" outlineLevel="0" collapsed="false">
      <c r="A50" s="0" t="s">
        <v>114</v>
      </c>
    </row>
    <row r="51" customFormat="false" ht="15" hidden="false" customHeight="false" outlineLevel="0" collapsed="false">
      <c r="A51" s="0" t="s">
        <v>90</v>
      </c>
    </row>
    <row r="52" customFormat="false" ht="15" hidden="false" customHeight="false" outlineLevel="0" collapsed="false">
      <c r="A52" s="0" t="s">
        <v>91</v>
      </c>
    </row>
    <row r="53" customFormat="false" ht="15" hidden="false" customHeight="false" outlineLevel="0" collapsed="false">
      <c r="A53" s="0" t="s">
        <v>92</v>
      </c>
    </row>
    <row r="54" customFormat="false" ht="15" hidden="false" customHeight="false" outlineLevel="0" collapsed="false">
      <c r="A54" s="0" t="s">
        <v>93</v>
      </c>
    </row>
    <row r="58" customFormat="false" ht="13.8" hidden="false" customHeight="false" outlineLevel="0" collapsed="false">
      <c r="A58" s="4" t="s">
        <v>94</v>
      </c>
    </row>
    <row r="59" customFormat="false" ht="13.8" hidden="false" customHeight="false" outlineLevel="0" collapsed="false">
      <c r="A59" s="0" t="s">
        <v>95</v>
      </c>
    </row>
    <row r="60" customFormat="false" ht="13.8" hidden="false" customHeight="false" outlineLevel="0" collapsed="false">
      <c r="A60" s="0" t="s">
        <v>82</v>
      </c>
    </row>
    <row r="61" customFormat="false" ht="13.8" hidden="false" customHeight="false" outlineLevel="0" collapsed="false">
      <c r="A61" s="0" t="s">
        <v>96</v>
      </c>
    </row>
    <row r="62" customFormat="false" ht="13.8" hidden="false" customHeight="false" outlineLevel="0" collapsed="false">
      <c r="A62" s="0" t="s">
        <v>97</v>
      </c>
    </row>
    <row r="63" customFormat="false" ht="13.8" hidden="false" customHeight="false" outlineLevel="0" collapsed="false">
      <c r="A63" s="0" t="s">
        <v>85</v>
      </c>
    </row>
    <row r="64" customFormat="false" ht="13.8" hidden="false" customHeight="false" outlineLevel="0" collapsed="false">
      <c r="A64" s="0" t="s">
        <v>98</v>
      </c>
    </row>
    <row r="65" customFormat="false" ht="13.8" hidden="false" customHeight="false" outlineLevel="0" collapsed="false">
      <c r="A65" s="0" t="s">
        <v>99</v>
      </c>
    </row>
    <row r="66" customFormat="false" ht="13.8" hidden="false" customHeight="false" outlineLevel="0" collapsed="false">
      <c r="A66" s="0" t="s">
        <v>100</v>
      </c>
    </row>
    <row r="67" customFormat="false" ht="13.8" hidden="false" customHeight="false" outlineLevel="0" collapsed="false">
      <c r="A67" s="0" t="s">
        <v>101</v>
      </c>
    </row>
    <row r="68" customFormat="false" ht="13.8" hidden="false" customHeight="false" outlineLevel="0" collapsed="false">
      <c r="A68" s="0" t="s">
        <v>90</v>
      </c>
    </row>
    <row r="69" customFormat="false" ht="13.8" hidden="false" customHeight="false" outlineLevel="0" collapsed="false">
      <c r="A69" s="0" t="s">
        <v>91</v>
      </c>
    </row>
    <row r="70" customFormat="false" ht="13.8" hidden="false" customHeight="false" outlineLevel="0" collapsed="false">
      <c r="A70" s="0" t="s">
        <v>92</v>
      </c>
    </row>
    <row r="71" customFormat="false" ht="13.8" hidden="false" customHeight="false" outlineLevel="0" collapsed="false">
      <c r="A71" s="0" t="s">
        <v>93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A53"/>
  <sheetViews>
    <sheetView windowProtection="false" showFormulas="false" showGridLines="true" showRowColHeaders="true" showZeros="true" rightToLeft="false" tabSelected="false" showOutlineSymbols="true" defaultGridColor="true" view="normal" topLeftCell="A73" colorId="64" zoomScale="100" zoomScaleNormal="100" zoomScalePageLayoutView="100" workbookViewId="0">
      <selection pane="topLeft" activeCell="A41" activeCellId="0" sqref="A41"/>
    </sheetView>
  </sheetViews>
  <sheetFormatPr defaultRowHeight="12.8"/>
  <cols>
    <col collapsed="false" hidden="false" max="1" min="1" style="0" width="48.1938775510204"/>
    <col collapsed="false" hidden="false" max="1025" min="2" style="0" width="8.36734693877551"/>
  </cols>
  <sheetData>
    <row r="1" customFormat="false" ht="13.8" hidden="false" customHeight="false" outlineLevel="0" collapsed="false">
      <c r="A1" s="4" t="s">
        <v>115</v>
      </c>
    </row>
    <row r="2" customFormat="false" ht="13.8" hidden="false" customHeight="false" outlineLevel="0" collapsed="false">
      <c r="A2" s="0" t="s">
        <v>116</v>
      </c>
    </row>
    <row r="3" customFormat="false" ht="13.8" hidden="false" customHeight="false" outlineLevel="0" collapsed="false">
      <c r="A3" s="0" t="s">
        <v>82</v>
      </c>
    </row>
    <row r="4" customFormat="false" ht="13.8" hidden="false" customHeight="false" outlineLevel="0" collapsed="false">
      <c r="A4" s="0" t="s">
        <v>117</v>
      </c>
    </row>
    <row r="5" customFormat="false" ht="13.8" hidden="false" customHeight="false" outlineLevel="0" collapsed="false">
      <c r="A5" s="0" t="s">
        <v>85</v>
      </c>
    </row>
    <row r="6" customFormat="false" ht="13.8" hidden="false" customHeight="false" outlineLevel="0" collapsed="false">
      <c r="A6" s="0" t="s">
        <v>118</v>
      </c>
    </row>
    <row r="7" customFormat="false" ht="13.8" hidden="false" customHeight="false" outlineLevel="0" collapsed="false">
      <c r="A7" s="0" t="s">
        <v>119</v>
      </c>
    </row>
    <row r="8" customFormat="false" ht="13.8" hidden="false" customHeight="false" outlineLevel="0" collapsed="false">
      <c r="A8" s="0" t="s">
        <v>120</v>
      </c>
    </row>
    <row r="9" customFormat="false" ht="13.8" hidden="false" customHeight="false" outlineLevel="0" collapsed="false">
      <c r="A9" s="0" t="s">
        <v>121</v>
      </c>
    </row>
    <row r="10" customFormat="false" ht="13.8" hidden="false" customHeight="false" outlineLevel="0" collapsed="false">
      <c r="A10" s="0" t="s">
        <v>122</v>
      </c>
    </row>
    <row r="11" customFormat="false" ht="13.8" hidden="false" customHeight="false" outlineLevel="0" collapsed="false">
      <c r="A11" s="0" t="s">
        <v>123</v>
      </c>
    </row>
    <row r="12" customFormat="false" ht="13.8" hidden="false" customHeight="false" outlineLevel="0" collapsed="false">
      <c r="A12" s="0" t="s">
        <v>124</v>
      </c>
    </row>
    <row r="13" customFormat="false" ht="13.8" hidden="false" customHeight="false" outlineLevel="0" collapsed="false">
      <c r="A13" s="0" t="s">
        <v>125</v>
      </c>
    </row>
    <row r="14" customFormat="false" ht="13.8" hidden="false" customHeight="false" outlineLevel="0" collapsed="false">
      <c r="A14" s="0" t="s">
        <v>92</v>
      </c>
    </row>
    <row r="15" customFormat="false" ht="13.8" hidden="false" customHeight="false" outlineLevel="0" collapsed="false">
      <c r="A15" s="0" t="s">
        <v>93</v>
      </c>
    </row>
    <row r="18" customFormat="false" ht="13.8" hidden="false" customHeight="false" outlineLevel="0" collapsed="false"/>
    <row r="19" customFormat="false" ht="13.8" hidden="false" customHeight="false" outlineLevel="0" collapsed="false"/>
    <row r="20" customFormat="false" ht="13.8" hidden="false" customHeight="false" outlineLevel="0" collapsed="false">
      <c r="A20" s="4" t="s">
        <v>126</v>
      </c>
    </row>
    <row r="21" customFormat="false" ht="13.8" hidden="false" customHeight="false" outlineLevel="0" collapsed="false">
      <c r="A21" s="0" t="s">
        <v>127</v>
      </c>
    </row>
    <row r="22" customFormat="false" ht="13.8" hidden="false" customHeight="false" outlineLevel="0" collapsed="false">
      <c r="A22" s="0" t="s">
        <v>82</v>
      </c>
    </row>
    <row r="23" customFormat="false" ht="13.8" hidden="false" customHeight="false" outlineLevel="0" collapsed="false">
      <c r="A23" s="0" t="s">
        <v>128</v>
      </c>
    </row>
    <row r="24" customFormat="false" ht="13.8" hidden="false" customHeight="false" outlineLevel="0" collapsed="false">
      <c r="A24" s="0" t="s">
        <v>85</v>
      </c>
    </row>
    <row r="25" customFormat="false" ht="13.8" hidden="false" customHeight="false" outlineLevel="0" collapsed="false">
      <c r="A25" s="0" t="s">
        <v>129</v>
      </c>
    </row>
    <row r="26" customFormat="false" ht="13.8" hidden="false" customHeight="false" outlineLevel="0" collapsed="false">
      <c r="A26" s="0" t="s">
        <v>130</v>
      </c>
    </row>
    <row r="27" customFormat="false" ht="13.8" hidden="false" customHeight="false" outlineLevel="0" collapsed="false">
      <c r="A27" s="0" t="s">
        <v>131</v>
      </c>
    </row>
    <row r="28" customFormat="false" ht="13.8" hidden="false" customHeight="false" outlineLevel="0" collapsed="false">
      <c r="A28" s="0" t="s">
        <v>132</v>
      </c>
    </row>
    <row r="29" customFormat="false" ht="13.8" hidden="false" customHeight="false" outlineLevel="0" collapsed="false">
      <c r="A29" s="0" t="s">
        <v>133</v>
      </c>
    </row>
    <row r="30" customFormat="false" ht="13.8" hidden="false" customHeight="false" outlineLevel="0" collapsed="false">
      <c r="A30" s="0" t="s">
        <v>134</v>
      </c>
    </row>
    <row r="31" customFormat="false" ht="13.8" hidden="false" customHeight="false" outlineLevel="0" collapsed="false">
      <c r="A31" s="0" t="s">
        <v>135</v>
      </c>
    </row>
    <row r="32" customFormat="false" ht="13.8" hidden="false" customHeight="false" outlineLevel="0" collapsed="false">
      <c r="A32" s="0" t="s">
        <v>136</v>
      </c>
    </row>
    <row r="33" customFormat="false" ht="13.8" hidden="false" customHeight="false" outlineLevel="0" collapsed="false">
      <c r="A33" s="0" t="s">
        <v>92</v>
      </c>
    </row>
    <row r="34" customFormat="false" ht="13.8" hidden="false" customHeight="false" outlineLevel="0" collapsed="false">
      <c r="A34" s="0" t="s">
        <v>93</v>
      </c>
    </row>
    <row r="39" customFormat="false" ht="13.8" hidden="false" customHeight="false" outlineLevel="0" collapsed="false">
      <c r="A39" s="4" t="s">
        <v>137</v>
      </c>
    </row>
    <row r="40" customFormat="false" ht="13.8" hidden="false" customHeight="false" outlineLevel="0" collapsed="false">
      <c r="A40" s="0" t="s">
        <v>138</v>
      </c>
    </row>
    <row r="41" customFormat="false" ht="13.8" hidden="false" customHeight="false" outlineLevel="0" collapsed="false">
      <c r="A41" s="0" t="s">
        <v>82</v>
      </c>
    </row>
    <row r="42" customFormat="false" ht="13.8" hidden="false" customHeight="false" outlineLevel="0" collapsed="false">
      <c r="A42" s="0" t="s">
        <v>139</v>
      </c>
    </row>
    <row r="43" customFormat="false" ht="13.8" hidden="false" customHeight="false" outlineLevel="0" collapsed="false">
      <c r="A43" s="0" t="s">
        <v>85</v>
      </c>
    </row>
    <row r="44" customFormat="false" ht="13.8" hidden="false" customHeight="false" outlineLevel="0" collapsed="false">
      <c r="A44" s="0" t="s">
        <v>140</v>
      </c>
    </row>
    <row r="45" customFormat="false" ht="13.8" hidden="false" customHeight="false" outlineLevel="0" collapsed="false">
      <c r="A45" s="0" t="s">
        <v>141</v>
      </c>
    </row>
    <row r="46" customFormat="false" ht="13.8" hidden="false" customHeight="false" outlineLevel="0" collapsed="false">
      <c r="A46" s="0" t="s">
        <v>142</v>
      </c>
    </row>
    <row r="47" customFormat="false" ht="13.8" hidden="false" customHeight="false" outlineLevel="0" collapsed="false">
      <c r="A47" s="0" t="s">
        <v>143</v>
      </c>
    </row>
    <row r="48" customFormat="false" ht="13.8" hidden="false" customHeight="false" outlineLevel="0" collapsed="false">
      <c r="A48" s="0" t="s">
        <v>144</v>
      </c>
    </row>
    <row r="49" customFormat="false" ht="13.8" hidden="false" customHeight="false" outlineLevel="0" collapsed="false">
      <c r="A49" s="0" t="s">
        <v>145</v>
      </c>
    </row>
    <row r="50" customFormat="false" ht="13.8" hidden="false" customHeight="false" outlineLevel="0" collapsed="false">
      <c r="A50" s="0" t="s">
        <v>146</v>
      </c>
    </row>
    <row r="51" customFormat="false" ht="13.8" hidden="false" customHeight="false" outlineLevel="0" collapsed="false">
      <c r="A51" s="0" t="s">
        <v>147</v>
      </c>
    </row>
    <row r="52" customFormat="false" ht="13.8" hidden="false" customHeight="false" outlineLevel="0" collapsed="false">
      <c r="A52" s="0" t="s">
        <v>92</v>
      </c>
    </row>
    <row r="53" customFormat="false" ht="13.8" hidden="false" customHeight="false" outlineLevel="0" collapsed="false">
      <c r="A53" s="0" t="s">
        <v>93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D14"/>
  <sheetViews>
    <sheetView windowProtection="false" showFormulas="false" showGridLines="true" showRowColHeaders="true" showZeros="true" rightToLeft="false" tabSelected="false" showOutlineSymbols="true" defaultGridColor="true" view="normal" topLeftCell="A1" colorId="64" zoomScale="85" zoomScaleNormal="85" zoomScalePageLayoutView="100" workbookViewId="0">
      <selection pane="topLeft" activeCell="A11" activeCellId="0" sqref="A11"/>
    </sheetView>
  </sheetViews>
  <sheetFormatPr defaultRowHeight="13.8"/>
  <cols>
    <col collapsed="false" hidden="false" max="2" min="1" style="0" width="11.0714285714286"/>
    <col collapsed="false" hidden="false" max="3" min="3" style="0" width="9.04591836734694"/>
    <col collapsed="false" hidden="false" max="4" min="4" style="0" width="22.8112244897959"/>
    <col collapsed="false" hidden="false" max="5" min="5" style="0" width="21.1938775510204"/>
    <col collapsed="false" hidden="false" max="6" min="6" style="0" width="22.2755102040816"/>
    <col collapsed="false" hidden="false" max="7" min="7" style="0" width="17.0102040816327"/>
    <col collapsed="false" hidden="false" max="8" min="8" style="0" width="13.0918367346939"/>
    <col collapsed="false" hidden="false" max="13" min="9" style="0" width="3.78061224489796"/>
    <col collapsed="false" hidden="false" max="1025" min="14" style="0" width="8.36734693877551"/>
  </cols>
  <sheetData>
    <row r="3" customFormat="false" ht="13.8" hidden="false" customHeight="false" outlineLevel="0" collapsed="false">
      <c r="A3" s="0" t="s">
        <v>148</v>
      </c>
      <c r="D3" s="5"/>
    </row>
    <row r="4" customFormat="false" ht="13.8" hidden="false" customHeight="false" outlineLevel="0" collapsed="false">
      <c r="A4" s="0" t="s">
        <v>82</v>
      </c>
      <c r="D4" s="5"/>
    </row>
    <row r="5" customFormat="false" ht="13.8" hidden="false" customHeight="false" outlineLevel="0" collapsed="false">
      <c r="A5" s="0" t="s">
        <v>149</v>
      </c>
      <c r="D5" s="5"/>
    </row>
    <row r="6" customFormat="false" ht="13.8" hidden="false" customHeight="false" outlineLevel="0" collapsed="false">
      <c r="A6" s="0" t="s">
        <v>150</v>
      </c>
      <c r="D6" s="5"/>
    </row>
    <row r="7" customFormat="false" ht="13.8" hidden="false" customHeight="false" outlineLevel="0" collapsed="false">
      <c r="A7" s="0" t="s">
        <v>151</v>
      </c>
      <c r="D7" s="5"/>
    </row>
    <row r="8" customFormat="false" ht="13.8" hidden="false" customHeight="false" outlineLevel="0" collapsed="false">
      <c r="A8" s="0" t="s">
        <v>152</v>
      </c>
      <c r="D8" s="5"/>
    </row>
    <row r="9" customFormat="false" ht="13.8" hidden="false" customHeight="false" outlineLevel="0" collapsed="false">
      <c r="A9" s="0" t="s">
        <v>153</v>
      </c>
      <c r="D9" s="5"/>
    </row>
    <row r="10" customFormat="false" ht="13.8" hidden="false" customHeight="false" outlineLevel="0" collapsed="false">
      <c r="A10" s="0" t="s">
        <v>154</v>
      </c>
      <c r="D10" s="5"/>
    </row>
    <row r="11" customFormat="false" ht="13.8" hidden="false" customHeight="false" outlineLevel="0" collapsed="false">
      <c r="A11" s="0" t="s">
        <v>155</v>
      </c>
      <c r="D11" s="5"/>
    </row>
    <row r="12" customFormat="false" ht="13.8" hidden="false" customHeight="false" outlineLevel="0" collapsed="false">
      <c r="D12" s="5"/>
    </row>
    <row r="13" customFormat="false" ht="13.8" hidden="false" customHeight="false" outlineLevel="0" collapsed="false">
      <c r="A13" s="0" t="s">
        <v>92</v>
      </c>
      <c r="D13" s="5"/>
    </row>
    <row r="14" customFormat="false" ht="13.8" hidden="false" customHeight="false" outlineLevel="0" collapsed="false">
      <c r="A14" s="0" t="s">
        <v>93</v>
      </c>
      <c r="D14" s="5"/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9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3:T65536"/>
  <sheetViews>
    <sheetView windowProtection="false" showFormulas="false" showGridLines="true" showRowColHeaders="true" showZeros="true" rightToLeft="false" tabSelected="false" showOutlineSymbols="true" defaultGridColor="true" view="normal" topLeftCell="A259" colorId="64" zoomScale="100" zoomScaleNormal="100" zoomScalePageLayoutView="100" workbookViewId="0">
      <selection pane="topLeft" activeCell="A274" activeCellId="0" sqref="A274"/>
    </sheetView>
  </sheetViews>
  <sheetFormatPr defaultRowHeight="13.8"/>
  <cols>
    <col collapsed="false" hidden="false" max="1" min="1" style="0" width="70.1938775510204"/>
    <col collapsed="false" hidden="false" max="11" min="2" style="0" width="8.36734693877551"/>
    <col collapsed="false" hidden="false" max="12" min="12" style="0" width="15.6581632653061"/>
    <col collapsed="false" hidden="false" max="16" min="13" style="0" width="8.36734693877551"/>
    <col collapsed="false" hidden="false" max="17" min="17" style="0" width="9.98979591836735"/>
    <col collapsed="false" hidden="false" max="18" min="18" style="0" width="10.6632653061225"/>
    <col collapsed="false" hidden="false" max="1025" min="19" style="0" width="8.36734693877551"/>
  </cols>
  <sheetData>
    <row r="3" customFormat="false" ht="13.8" hidden="false" customHeight="false" outlineLevel="0" collapsed="false">
      <c r="A3" s="0" t="s">
        <v>82</v>
      </c>
    </row>
    <row r="4" customFormat="false" ht="13.8" hidden="false" customHeight="false" outlineLevel="0" collapsed="false">
      <c r="A4" s="6" t="s">
        <v>156</v>
      </c>
    </row>
    <row r="5" customFormat="false" ht="13.8" hidden="false" customHeight="false" outlineLevel="0" collapsed="false">
      <c r="A5" s="6" t="s">
        <v>157</v>
      </c>
    </row>
    <row r="6" customFormat="false" ht="13.8" hidden="false" customHeight="false" outlineLevel="0" collapsed="false">
      <c r="A6" s="6" t="s">
        <v>151</v>
      </c>
    </row>
    <row r="7" customFormat="false" ht="13.8" hidden="false" customHeight="false" outlineLevel="0" collapsed="false">
      <c r="A7" s="6" t="s">
        <v>152</v>
      </c>
    </row>
    <row r="8" customFormat="false" ht="13.8" hidden="false" customHeight="false" outlineLevel="0" collapsed="false">
      <c r="A8" s="6" t="s">
        <v>158</v>
      </c>
    </row>
    <row r="9" customFormat="false" ht="13.8" hidden="false" customHeight="false" outlineLevel="0" collapsed="false">
      <c r="A9" s="6" t="s">
        <v>159</v>
      </c>
    </row>
    <row r="10" customFormat="false" ht="13.8" hidden="false" customHeight="false" outlineLevel="0" collapsed="false">
      <c r="A10" s="6" t="s">
        <v>92</v>
      </c>
    </row>
    <row r="11" customFormat="false" ht="13.8" hidden="false" customHeight="false" outlineLevel="0" collapsed="false">
      <c r="A11" s="0" t="s">
        <v>93</v>
      </c>
    </row>
    <row r="12" customFormat="false" ht="12.8" hidden="false" customHeight="false" outlineLevel="0" collapsed="false"/>
    <row r="16" customFormat="false" ht="13.8" hidden="false" customHeight="false" outlineLevel="0" collapsed="false">
      <c r="A16" s="6" t="s">
        <v>160</v>
      </c>
      <c r="I16" s="6" t="s">
        <v>161</v>
      </c>
    </row>
    <row r="17" customFormat="false" ht="13.8" hidden="false" customHeight="false" outlineLevel="0" collapsed="false">
      <c r="A17" s="0" t="s">
        <v>82</v>
      </c>
    </row>
    <row r="18" customFormat="false" ht="13.8" hidden="false" customHeight="false" outlineLevel="0" collapsed="false">
      <c r="A18" s="6" t="s">
        <v>162</v>
      </c>
    </row>
    <row r="19" customFormat="false" ht="13.8" hidden="false" customHeight="false" outlineLevel="0" collapsed="false">
      <c r="A19" s="6" t="s">
        <v>163</v>
      </c>
      <c r="I19" s="6" t="s">
        <v>164</v>
      </c>
    </row>
    <row r="20" customFormat="false" ht="13.8" hidden="false" customHeight="false" outlineLevel="0" collapsed="false">
      <c r="A20" s="6" t="s">
        <v>151</v>
      </c>
    </row>
    <row r="21" customFormat="false" ht="13.8" hidden="false" customHeight="false" outlineLevel="0" collapsed="false">
      <c r="A21" s="6" t="s">
        <v>152</v>
      </c>
    </row>
    <row r="22" customFormat="false" ht="13.8" hidden="false" customHeight="false" outlineLevel="0" collapsed="false">
      <c r="A22" s="6" t="s">
        <v>158</v>
      </c>
    </row>
    <row r="23" customFormat="false" ht="13.8" hidden="false" customHeight="false" outlineLevel="0" collapsed="false">
      <c r="A23" s="6" t="s">
        <v>92</v>
      </c>
    </row>
    <row r="24" customFormat="false" ht="13.8" hidden="false" customHeight="false" outlineLevel="0" collapsed="false">
      <c r="A24" s="0" t="s">
        <v>93</v>
      </c>
      <c r="J24" s="6" t="s">
        <v>165</v>
      </c>
    </row>
    <row r="30" customFormat="false" ht="13.8" hidden="false" customHeight="false" outlineLevel="0" collapsed="false">
      <c r="A30" s="6" t="s">
        <v>166</v>
      </c>
    </row>
    <row r="31" customFormat="false" ht="13.8" hidden="false" customHeight="false" outlineLevel="0" collapsed="false">
      <c r="A31" s="0" t="s">
        <v>82</v>
      </c>
    </row>
    <row r="32" customFormat="false" ht="13.8" hidden="false" customHeight="false" outlineLevel="0" collapsed="false">
      <c r="A32" s="6" t="s">
        <v>167</v>
      </c>
    </row>
    <row r="33" customFormat="false" ht="13.8" hidden="false" customHeight="false" outlineLevel="0" collapsed="false">
      <c r="A33" s="6" t="s">
        <v>168</v>
      </c>
    </row>
    <row r="34" customFormat="false" ht="13.8" hidden="false" customHeight="false" outlineLevel="0" collapsed="false">
      <c r="A34" s="6" t="s">
        <v>151</v>
      </c>
    </row>
    <row r="35" customFormat="false" ht="13.8" hidden="false" customHeight="false" outlineLevel="0" collapsed="false">
      <c r="A35" s="6" t="s">
        <v>152</v>
      </c>
      <c r="D35" s="6" t="s">
        <v>169</v>
      </c>
    </row>
    <row r="36" customFormat="false" ht="13.8" hidden="false" customHeight="false" outlineLevel="0" collapsed="false">
      <c r="A36" s="6" t="s">
        <v>169</v>
      </c>
    </row>
    <row r="37" customFormat="false" ht="13.8" hidden="false" customHeight="false" outlineLevel="0" collapsed="false">
      <c r="A37" s="6" t="s">
        <v>92</v>
      </c>
    </row>
    <row r="43" customFormat="false" ht="13.8" hidden="false" customHeight="false" outlineLevel="0" collapsed="false">
      <c r="A43" s="0" t="s">
        <v>93</v>
      </c>
    </row>
    <row r="44" customFormat="false" ht="13.8" hidden="false" customHeight="false" outlineLevel="0" collapsed="false">
      <c r="A44" s="6" t="s">
        <v>170</v>
      </c>
    </row>
    <row r="45" customFormat="false" ht="13.8" hidden="false" customHeight="false" outlineLevel="0" collapsed="false">
      <c r="A45" s="6" t="s">
        <v>171</v>
      </c>
    </row>
    <row r="46" customFormat="false" ht="13.8" hidden="false" customHeight="false" outlineLevel="0" collapsed="false">
      <c r="A46" s="6" t="s">
        <v>151</v>
      </c>
    </row>
    <row r="47" customFormat="false" ht="13.8" hidden="false" customHeight="false" outlineLevel="0" collapsed="false">
      <c r="A47" s="6" t="s">
        <v>152</v>
      </c>
    </row>
    <row r="48" customFormat="false" ht="13.8" hidden="false" customHeight="false" outlineLevel="0" collapsed="false">
      <c r="A48" s="6" t="s">
        <v>172</v>
      </c>
    </row>
    <row r="49" customFormat="false" ht="13.8" hidden="false" customHeight="false" outlineLevel="0" collapsed="false">
      <c r="A49" s="6" t="s">
        <v>173</v>
      </c>
    </row>
    <row r="50" customFormat="false" ht="13.8" hidden="false" customHeight="false" outlineLevel="0" collapsed="false">
      <c r="A50" s="6" t="s">
        <v>92</v>
      </c>
      <c r="O50" s="2" t="s">
        <v>1</v>
      </c>
    </row>
    <row r="51" customFormat="false" ht="13.8" hidden="false" customHeight="false" outlineLevel="0" collapsed="false">
      <c r="O51" s="3" t="s">
        <v>41</v>
      </c>
    </row>
    <row r="52" customFormat="false" ht="13.8" hidden="false" customHeight="false" outlineLevel="0" collapsed="false">
      <c r="A52" s="6" t="s">
        <v>174</v>
      </c>
      <c r="O52" s="3" t="s">
        <v>5</v>
      </c>
    </row>
    <row r="53" customFormat="false" ht="13.8" hidden="false" customHeight="false" outlineLevel="0" collapsed="false">
      <c r="A53" s="6" t="s">
        <v>175</v>
      </c>
      <c r="O53" s="3" t="s">
        <v>6</v>
      </c>
    </row>
    <row r="54" customFormat="false" ht="13.8" hidden="false" customHeight="false" outlineLevel="0" collapsed="false">
      <c r="A54" s="6" t="s">
        <v>151</v>
      </c>
      <c r="O54" s="3" t="s">
        <v>45</v>
      </c>
    </row>
    <row r="55" customFormat="false" ht="13.8" hidden="false" customHeight="false" outlineLevel="0" collapsed="false">
      <c r="A55" s="6" t="s">
        <v>152</v>
      </c>
      <c r="O55" s="3" t="s">
        <v>47</v>
      </c>
    </row>
    <row r="56" customFormat="false" ht="13.8" hidden="false" customHeight="false" outlineLevel="0" collapsed="false">
      <c r="A56" s="6" t="s">
        <v>176</v>
      </c>
      <c r="O56" s="3" t="s">
        <v>49</v>
      </c>
    </row>
    <row r="57" customFormat="false" ht="13.8" hidden="false" customHeight="false" outlineLevel="0" collapsed="false">
      <c r="A57" s="6" t="s">
        <v>173</v>
      </c>
      <c r="O57" s="3" t="s">
        <v>51</v>
      </c>
    </row>
    <row r="58" customFormat="false" ht="13.8" hidden="false" customHeight="false" outlineLevel="0" collapsed="false">
      <c r="A58" s="6" t="s">
        <v>92</v>
      </c>
      <c r="O58" s="3" t="s">
        <v>53</v>
      </c>
    </row>
    <row r="60" customFormat="false" ht="13.8" hidden="false" customHeight="false" outlineLevel="0" collapsed="false">
      <c r="A60" s="6" t="s">
        <v>177</v>
      </c>
    </row>
    <row r="61" customFormat="false" ht="13.8" hidden="false" customHeight="false" outlineLevel="0" collapsed="false">
      <c r="A61" s="6" t="s">
        <v>178</v>
      </c>
    </row>
    <row r="62" customFormat="false" ht="13.8" hidden="false" customHeight="false" outlineLevel="0" collapsed="false">
      <c r="A62" s="6" t="s">
        <v>151</v>
      </c>
    </row>
    <row r="63" customFormat="false" ht="13.8" hidden="false" customHeight="false" outlineLevel="0" collapsed="false">
      <c r="A63" s="6" t="s">
        <v>152</v>
      </c>
    </row>
    <row r="64" customFormat="false" ht="13.8" hidden="false" customHeight="false" outlineLevel="0" collapsed="false">
      <c r="A64" s="6" t="s">
        <v>179</v>
      </c>
    </row>
    <row r="65" customFormat="false" ht="13.8" hidden="false" customHeight="false" outlineLevel="0" collapsed="false">
      <c r="A65" s="6" t="s">
        <v>173</v>
      </c>
    </row>
    <row r="66" customFormat="false" ht="13.8" hidden="false" customHeight="false" outlineLevel="0" collapsed="false">
      <c r="A66" s="6" t="s">
        <v>92</v>
      </c>
    </row>
    <row r="69" customFormat="false" ht="13.8" hidden="false" customHeight="false" outlineLevel="0" collapsed="false">
      <c r="A69" s="6" t="s">
        <v>180</v>
      </c>
    </row>
    <row r="70" customFormat="false" ht="13.8" hidden="false" customHeight="false" outlineLevel="0" collapsed="false">
      <c r="A70" s="6" t="s">
        <v>181</v>
      </c>
    </row>
    <row r="71" customFormat="false" ht="13.8" hidden="false" customHeight="false" outlineLevel="0" collapsed="false">
      <c r="A71" s="6" t="s">
        <v>151</v>
      </c>
    </row>
    <row r="72" customFormat="false" ht="13.8" hidden="false" customHeight="false" outlineLevel="0" collapsed="false">
      <c r="A72" s="6" t="s">
        <v>152</v>
      </c>
    </row>
    <row r="73" customFormat="false" ht="13.8" hidden="false" customHeight="false" outlineLevel="0" collapsed="false">
      <c r="A73" s="6" t="s">
        <v>182</v>
      </c>
    </row>
    <row r="74" customFormat="false" ht="13.8" hidden="false" customHeight="false" outlineLevel="0" collapsed="false">
      <c r="A74" s="6" t="s">
        <v>173</v>
      </c>
    </row>
    <row r="75" customFormat="false" ht="13.8" hidden="false" customHeight="false" outlineLevel="0" collapsed="false">
      <c r="A75" s="6" t="s">
        <v>92</v>
      </c>
    </row>
    <row r="77" customFormat="false" ht="13.8" hidden="false" customHeight="false" outlineLevel="0" collapsed="false">
      <c r="A77" s="6" t="s">
        <v>183</v>
      </c>
    </row>
    <row r="78" customFormat="false" ht="13.8" hidden="false" customHeight="false" outlineLevel="0" collapsed="false">
      <c r="A78" s="6" t="s">
        <v>184</v>
      </c>
    </row>
    <row r="79" customFormat="false" ht="13.8" hidden="false" customHeight="false" outlineLevel="0" collapsed="false">
      <c r="A79" s="6" t="s">
        <v>151</v>
      </c>
    </row>
    <row r="80" customFormat="false" ht="13.8" hidden="false" customHeight="false" outlineLevel="0" collapsed="false">
      <c r="A80" s="6" t="s">
        <v>152</v>
      </c>
    </row>
    <row r="81" customFormat="false" ht="13.8" hidden="false" customHeight="false" outlineLevel="0" collapsed="false">
      <c r="A81" s="6" t="s">
        <v>185</v>
      </c>
    </row>
    <row r="82" customFormat="false" ht="13.8" hidden="false" customHeight="false" outlineLevel="0" collapsed="false">
      <c r="A82" s="6" t="s">
        <v>173</v>
      </c>
    </row>
    <row r="83" customFormat="false" ht="13.8" hidden="false" customHeight="false" outlineLevel="0" collapsed="false">
      <c r="A83" s="6" t="s">
        <v>92</v>
      </c>
    </row>
    <row r="85" customFormat="false" ht="13.8" hidden="false" customHeight="false" outlineLevel="0" collapsed="false">
      <c r="A85" s="6" t="s">
        <v>186</v>
      </c>
    </row>
    <row r="86" customFormat="false" ht="13.8" hidden="false" customHeight="false" outlineLevel="0" collapsed="false">
      <c r="A86" s="6" t="s">
        <v>187</v>
      </c>
    </row>
    <row r="87" customFormat="false" ht="13.8" hidden="false" customHeight="false" outlineLevel="0" collapsed="false">
      <c r="A87" s="6" t="s">
        <v>151</v>
      </c>
    </row>
    <row r="88" customFormat="false" ht="13.8" hidden="false" customHeight="false" outlineLevel="0" collapsed="false">
      <c r="A88" s="6" t="s">
        <v>152</v>
      </c>
    </row>
    <row r="89" customFormat="false" ht="13.8" hidden="false" customHeight="false" outlineLevel="0" collapsed="false">
      <c r="A89" s="6" t="s">
        <v>188</v>
      </c>
    </row>
    <row r="90" customFormat="false" ht="13.8" hidden="false" customHeight="false" outlineLevel="0" collapsed="false">
      <c r="A90" s="6" t="s">
        <v>173</v>
      </c>
    </row>
    <row r="91" customFormat="false" ht="13.8" hidden="false" customHeight="false" outlineLevel="0" collapsed="false">
      <c r="A91" s="6" t="s">
        <v>92</v>
      </c>
    </row>
    <row r="93" customFormat="false" ht="13.8" hidden="false" customHeight="false" outlineLevel="0" collapsed="false">
      <c r="A93" s="6" t="s">
        <v>189</v>
      </c>
    </row>
    <row r="94" customFormat="false" ht="13.8" hidden="false" customHeight="false" outlineLevel="0" collapsed="false">
      <c r="A94" s="6" t="s">
        <v>190</v>
      </c>
    </row>
    <row r="95" customFormat="false" ht="13.8" hidden="false" customHeight="false" outlineLevel="0" collapsed="false">
      <c r="A95" s="6" t="s">
        <v>151</v>
      </c>
    </row>
    <row r="96" customFormat="false" ht="13.8" hidden="false" customHeight="false" outlineLevel="0" collapsed="false">
      <c r="A96" s="6" t="s">
        <v>152</v>
      </c>
    </row>
    <row r="97" customFormat="false" ht="13.8" hidden="false" customHeight="false" outlineLevel="0" collapsed="false">
      <c r="A97" s="6" t="s">
        <v>191</v>
      </c>
    </row>
    <row r="98" customFormat="false" ht="13.8" hidden="false" customHeight="false" outlineLevel="0" collapsed="false">
      <c r="A98" s="6" t="s">
        <v>173</v>
      </c>
    </row>
    <row r="99" customFormat="false" ht="13.8" hidden="false" customHeight="false" outlineLevel="0" collapsed="false">
      <c r="A99" s="6" t="s">
        <v>92</v>
      </c>
    </row>
    <row r="101" customFormat="false" ht="13.8" hidden="false" customHeight="false" outlineLevel="0" collapsed="false">
      <c r="A101" s="6" t="s">
        <v>192</v>
      </c>
    </row>
    <row r="102" customFormat="false" ht="13.8" hidden="false" customHeight="false" outlineLevel="0" collapsed="false">
      <c r="A102" s="6" t="s">
        <v>193</v>
      </c>
    </row>
    <row r="103" customFormat="false" ht="13.8" hidden="false" customHeight="false" outlineLevel="0" collapsed="false">
      <c r="A103" s="6" t="s">
        <v>151</v>
      </c>
    </row>
    <row r="104" customFormat="false" ht="13.8" hidden="false" customHeight="false" outlineLevel="0" collapsed="false">
      <c r="A104" s="6" t="s">
        <v>152</v>
      </c>
    </row>
    <row r="105" customFormat="false" ht="13.8" hidden="false" customHeight="false" outlineLevel="0" collapsed="false">
      <c r="A105" s="6" t="s">
        <v>194</v>
      </c>
    </row>
    <row r="106" customFormat="false" ht="13.8" hidden="false" customHeight="false" outlineLevel="0" collapsed="false">
      <c r="A106" s="6" t="s">
        <v>173</v>
      </c>
    </row>
    <row r="107" customFormat="false" ht="13.8" hidden="false" customHeight="false" outlineLevel="0" collapsed="false">
      <c r="A107" s="6" t="s">
        <v>92</v>
      </c>
    </row>
    <row r="109" customFormat="false" ht="13.8" hidden="false" customHeight="false" outlineLevel="0" collapsed="false">
      <c r="T109" s="0" t="n">
        <f aca="false">591-4</f>
        <v>587</v>
      </c>
    </row>
    <row r="110" customFormat="false" ht="13.8" hidden="false" customHeight="false" outlineLevel="0" collapsed="false">
      <c r="A110" s="0" t="s">
        <v>195</v>
      </c>
    </row>
    <row r="111" customFormat="false" ht="13.8" hidden="false" customHeight="false" outlineLevel="0" collapsed="false">
      <c r="A111" s="0" t="s">
        <v>82</v>
      </c>
      <c r="Q111" s="7" t="n">
        <v>196</v>
      </c>
      <c r="R111" s="0" t="n">
        <f aca="false">SUM(TRIGGERS!Q110:Q113)</f>
        <v>587</v>
      </c>
    </row>
    <row r="112" customFormat="false" ht="13.8" hidden="false" customHeight="false" outlineLevel="0" collapsed="false">
      <c r="A112" s="0" t="s">
        <v>196</v>
      </c>
      <c r="Q112" s="7" t="n">
        <v>200</v>
      </c>
    </row>
    <row r="113" customFormat="false" ht="13.8" hidden="false" customHeight="false" outlineLevel="0" collapsed="false">
      <c r="A113" s="0" t="s">
        <v>197</v>
      </c>
      <c r="Q113" s="7" t="n">
        <v>191</v>
      </c>
    </row>
    <row r="114" customFormat="false" ht="13.8" hidden="false" customHeight="false" outlineLevel="0" collapsed="false">
      <c r="A114" s="0" t="s">
        <v>151</v>
      </c>
    </row>
    <row r="115" customFormat="false" ht="13.8" hidden="false" customHeight="false" outlineLevel="0" collapsed="false">
      <c r="A115" s="0" t="s">
        <v>152</v>
      </c>
    </row>
    <row r="116" customFormat="false" ht="13.8" hidden="false" customHeight="false" outlineLevel="0" collapsed="false">
      <c r="A116" s="0" t="s">
        <v>198</v>
      </c>
    </row>
    <row r="117" customFormat="false" ht="13.8" hidden="false" customHeight="false" outlineLevel="0" collapsed="false">
      <c r="A117" s="0" t="s">
        <v>199</v>
      </c>
    </row>
    <row r="118" customFormat="false" ht="13.8" hidden="false" customHeight="false" outlineLevel="0" collapsed="false">
      <c r="A118" s="0" t="s">
        <v>200</v>
      </c>
    </row>
    <row r="119" customFormat="false" ht="13.8" hidden="false" customHeight="false" outlineLevel="0" collapsed="false">
      <c r="A119" s="0" t="s">
        <v>90</v>
      </c>
    </row>
    <row r="120" customFormat="false" ht="13.8" hidden="false" customHeight="false" outlineLevel="0" collapsed="false">
      <c r="A120" s="0" t="s">
        <v>92</v>
      </c>
    </row>
    <row r="121" customFormat="false" ht="13.8" hidden="false" customHeight="false" outlineLevel="0" collapsed="false">
      <c r="A121" s="0" t="s">
        <v>93</v>
      </c>
    </row>
    <row r="122" customFormat="false" ht="13.8" hidden="false" customHeight="false" outlineLevel="0" collapsed="false">
      <c r="Q122" s="8"/>
    </row>
    <row r="123" customFormat="false" ht="13.8" hidden="false" customHeight="false" outlineLevel="0" collapsed="false">
      <c r="Q123" s="8"/>
    </row>
    <row r="124" customFormat="false" ht="13.8" hidden="false" customHeight="false" outlineLevel="0" collapsed="false">
      <c r="H124" s="0" t="s">
        <v>201</v>
      </c>
      <c r="R124" s="8"/>
    </row>
    <row r="125" customFormat="false" ht="13.8" hidden="false" customHeight="false" outlineLevel="0" collapsed="false">
      <c r="H125" s="0" t="s">
        <v>202</v>
      </c>
    </row>
    <row r="126" customFormat="false" ht="13.8" hidden="false" customHeight="false" outlineLevel="0" collapsed="false">
      <c r="H126" s="0" t="s">
        <v>203</v>
      </c>
    </row>
    <row r="127" customFormat="false" ht="13.8" hidden="false" customHeight="false" outlineLevel="0" collapsed="false">
      <c r="H127" s="0" t="s">
        <v>204</v>
      </c>
    </row>
    <row r="128" customFormat="false" ht="13.8" hidden="false" customHeight="false" outlineLevel="0" collapsed="false">
      <c r="H128" s="0" t="s">
        <v>205</v>
      </c>
      <c r="L128" s="9"/>
    </row>
    <row r="129" customFormat="false" ht="13.8" hidden="false" customHeight="false" outlineLevel="0" collapsed="false">
      <c r="H129" s="0" t="s">
        <v>206</v>
      </c>
      <c r="L129" s="9"/>
      <c r="M129" s="10"/>
    </row>
    <row r="130" customFormat="false" ht="13.8" hidden="false" customHeight="false" outlineLevel="0" collapsed="false">
      <c r="A130" s="0" t="s">
        <v>207</v>
      </c>
    </row>
    <row r="131" customFormat="false" ht="13.8" hidden="false" customHeight="false" outlineLevel="0" collapsed="false">
      <c r="A131" s="0" t="s">
        <v>82</v>
      </c>
    </row>
    <row r="132" customFormat="false" ht="13.8" hidden="false" customHeight="false" outlineLevel="0" collapsed="false">
      <c r="A132" s="0" t="s">
        <v>208</v>
      </c>
    </row>
    <row r="133" customFormat="false" ht="13.8" hidden="false" customHeight="false" outlineLevel="0" collapsed="false">
      <c r="A133" s="0" t="s">
        <v>209</v>
      </c>
    </row>
    <row r="134" customFormat="false" ht="13.8" hidden="false" customHeight="false" outlineLevel="0" collapsed="false">
      <c r="A134" s="0" t="s">
        <v>151</v>
      </c>
    </row>
    <row r="135" customFormat="false" ht="13.8" hidden="false" customHeight="false" outlineLevel="0" collapsed="false">
      <c r="A135" s="0" t="s">
        <v>152</v>
      </c>
    </row>
    <row r="136" customFormat="false" ht="13.8" hidden="false" customHeight="false" outlineLevel="0" collapsed="false">
      <c r="A136" s="0" t="s">
        <v>198</v>
      </c>
    </row>
    <row r="137" customFormat="false" ht="13.8" hidden="false" customHeight="false" outlineLevel="0" collapsed="false">
      <c r="A137" s="0" t="s">
        <v>199</v>
      </c>
    </row>
    <row r="138" customFormat="false" ht="13.8" hidden="false" customHeight="false" outlineLevel="0" collapsed="false">
      <c r="A138" s="0" t="s">
        <v>200</v>
      </c>
    </row>
    <row r="139" customFormat="false" ht="13.8" hidden="false" customHeight="false" outlineLevel="0" collapsed="false">
      <c r="A139" s="0" t="s">
        <v>90</v>
      </c>
    </row>
    <row r="140" customFormat="false" ht="13.8" hidden="false" customHeight="false" outlineLevel="0" collapsed="false">
      <c r="A140" s="0" t="s">
        <v>92</v>
      </c>
    </row>
    <row r="141" customFormat="false" ht="13.8" hidden="false" customHeight="false" outlineLevel="0" collapsed="false">
      <c r="A141" s="0" t="s">
        <v>93</v>
      </c>
    </row>
    <row r="145" customFormat="false" ht="13.8" hidden="false" customHeight="false" outlineLevel="0" collapsed="false">
      <c r="A145" s="0" t="s">
        <v>210</v>
      </c>
    </row>
    <row r="146" customFormat="false" ht="13.8" hidden="false" customHeight="false" outlineLevel="0" collapsed="false">
      <c r="A146" s="0" t="s">
        <v>82</v>
      </c>
    </row>
    <row r="147" customFormat="false" ht="13.8" hidden="false" customHeight="false" outlineLevel="0" collapsed="false">
      <c r="A147" s="0" t="s">
        <v>211</v>
      </c>
    </row>
    <row r="148" customFormat="false" ht="13.8" hidden="false" customHeight="false" outlineLevel="0" collapsed="false">
      <c r="A148" s="0" t="s">
        <v>212</v>
      </c>
    </row>
    <row r="149" customFormat="false" ht="13.8" hidden="false" customHeight="false" outlineLevel="0" collapsed="false">
      <c r="A149" s="0" t="s">
        <v>151</v>
      </c>
    </row>
    <row r="150" customFormat="false" ht="13.8" hidden="false" customHeight="false" outlineLevel="0" collapsed="false">
      <c r="A150" s="0" t="s">
        <v>152</v>
      </c>
    </row>
    <row r="151" customFormat="false" ht="13.8" hidden="false" customHeight="false" outlineLevel="0" collapsed="false">
      <c r="A151" s="0" t="s">
        <v>198</v>
      </c>
    </row>
    <row r="152" customFormat="false" ht="13.8" hidden="false" customHeight="false" outlineLevel="0" collapsed="false">
      <c r="A152" s="0" t="s">
        <v>199</v>
      </c>
    </row>
    <row r="153" customFormat="false" ht="13.8" hidden="false" customHeight="false" outlineLevel="0" collapsed="false">
      <c r="A153" s="0" t="s">
        <v>200</v>
      </c>
    </row>
    <row r="154" customFormat="false" ht="13.8" hidden="false" customHeight="false" outlineLevel="0" collapsed="false">
      <c r="A154" s="0" t="s">
        <v>90</v>
      </c>
    </row>
    <row r="155" customFormat="false" ht="13.8" hidden="false" customHeight="false" outlineLevel="0" collapsed="false">
      <c r="A155" s="0" t="s">
        <v>92</v>
      </c>
    </row>
    <row r="156" customFormat="false" ht="13.8" hidden="false" customHeight="false" outlineLevel="0" collapsed="false">
      <c r="A156" s="0" t="s">
        <v>93</v>
      </c>
    </row>
    <row r="159" customFormat="false" ht="13.8" hidden="false" customHeight="false" outlineLevel="0" collapsed="false">
      <c r="A159" s="0" t="s">
        <v>213</v>
      </c>
    </row>
    <row r="160" customFormat="false" ht="13.8" hidden="false" customHeight="false" outlineLevel="0" collapsed="false">
      <c r="A160" s="0" t="s">
        <v>82</v>
      </c>
    </row>
    <row r="161" customFormat="false" ht="13.8" hidden="false" customHeight="false" outlineLevel="0" collapsed="false">
      <c r="A161" s="0" t="s">
        <v>214</v>
      </c>
    </row>
    <row r="162" customFormat="false" ht="13.8" hidden="false" customHeight="false" outlineLevel="0" collapsed="false">
      <c r="A162" s="0" t="s">
        <v>215</v>
      </c>
    </row>
    <row r="163" customFormat="false" ht="13.8" hidden="false" customHeight="false" outlineLevel="0" collapsed="false">
      <c r="A163" s="0" t="s">
        <v>151</v>
      </c>
    </row>
    <row r="164" customFormat="false" ht="13.8" hidden="false" customHeight="false" outlineLevel="0" collapsed="false">
      <c r="A164" s="0" t="s">
        <v>152</v>
      </c>
    </row>
    <row r="165" customFormat="false" ht="13.8" hidden="false" customHeight="false" outlineLevel="0" collapsed="false">
      <c r="A165" s="0" t="s">
        <v>198</v>
      </c>
    </row>
    <row r="166" customFormat="false" ht="13.8" hidden="false" customHeight="false" outlineLevel="0" collapsed="false">
      <c r="A166" s="0" t="s">
        <v>199</v>
      </c>
    </row>
    <row r="167" customFormat="false" ht="13.8" hidden="false" customHeight="false" outlineLevel="0" collapsed="false">
      <c r="A167" s="0" t="s">
        <v>200</v>
      </c>
    </row>
    <row r="168" customFormat="false" ht="13.8" hidden="false" customHeight="false" outlineLevel="0" collapsed="false">
      <c r="A168" s="0" t="s">
        <v>90</v>
      </c>
    </row>
    <row r="169" customFormat="false" ht="13.8" hidden="false" customHeight="false" outlineLevel="0" collapsed="false">
      <c r="A169" s="0" t="s">
        <v>92</v>
      </c>
    </row>
    <row r="170" customFormat="false" ht="13.8" hidden="false" customHeight="false" outlineLevel="0" collapsed="false">
      <c r="A170" s="0" t="s">
        <v>93</v>
      </c>
    </row>
    <row r="174" customFormat="false" ht="13.8" hidden="false" customHeight="false" outlineLevel="0" collapsed="false">
      <c r="A174" s="0" t="s">
        <v>216</v>
      </c>
    </row>
    <row r="175" customFormat="false" ht="13.8" hidden="false" customHeight="false" outlineLevel="0" collapsed="false">
      <c r="A175" s="0" t="s">
        <v>82</v>
      </c>
    </row>
    <row r="176" customFormat="false" ht="13.8" hidden="false" customHeight="false" outlineLevel="0" collapsed="false">
      <c r="A176" s="0" t="s">
        <v>217</v>
      </c>
    </row>
    <row r="177" customFormat="false" ht="13.8" hidden="false" customHeight="false" outlineLevel="0" collapsed="false">
      <c r="A177" s="0" t="s">
        <v>218</v>
      </c>
    </row>
    <row r="178" customFormat="false" ht="13.8" hidden="false" customHeight="false" outlineLevel="0" collapsed="false">
      <c r="A178" s="0" t="s">
        <v>151</v>
      </c>
    </row>
    <row r="179" customFormat="false" ht="13.8" hidden="false" customHeight="false" outlineLevel="0" collapsed="false">
      <c r="A179" s="0" t="s">
        <v>152</v>
      </c>
    </row>
    <row r="180" customFormat="false" ht="13.8" hidden="false" customHeight="false" outlineLevel="0" collapsed="false">
      <c r="A180" s="0" t="s">
        <v>198</v>
      </c>
    </row>
    <row r="181" customFormat="false" ht="13.8" hidden="false" customHeight="false" outlineLevel="0" collapsed="false">
      <c r="A181" s="0" t="s">
        <v>199</v>
      </c>
    </row>
    <row r="182" customFormat="false" ht="13.8" hidden="false" customHeight="false" outlineLevel="0" collapsed="false">
      <c r="A182" s="0" t="s">
        <v>200</v>
      </c>
    </row>
    <row r="183" customFormat="false" ht="13.8" hidden="false" customHeight="false" outlineLevel="0" collapsed="false">
      <c r="A183" s="0" t="s">
        <v>90</v>
      </c>
    </row>
    <row r="184" customFormat="false" ht="13.8" hidden="false" customHeight="false" outlineLevel="0" collapsed="false">
      <c r="A184" s="0" t="s">
        <v>92</v>
      </c>
    </row>
    <row r="185" customFormat="false" ht="13.8" hidden="false" customHeight="false" outlineLevel="0" collapsed="false">
      <c r="A185" s="0" t="s">
        <v>93</v>
      </c>
    </row>
    <row r="188" customFormat="false" ht="13.8" hidden="false" customHeight="false" outlineLevel="0" collapsed="false">
      <c r="A188" s="0" t="s">
        <v>219</v>
      </c>
    </row>
    <row r="189" customFormat="false" ht="13.8" hidden="false" customHeight="false" outlineLevel="0" collapsed="false">
      <c r="A189" s="0" t="s">
        <v>82</v>
      </c>
    </row>
    <row r="190" customFormat="false" ht="13.8" hidden="false" customHeight="false" outlineLevel="0" collapsed="false">
      <c r="A190" s="0" t="s">
        <v>220</v>
      </c>
    </row>
    <row r="191" customFormat="false" ht="13.8" hidden="false" customHeight="false" outlineLevel="0" collapsed="false">
      <c r="A191" s="0" t="s">
        <v>221</v>
      </c>
    </row>
    <row r="192" customFormat="false" ht="13.8" hidden="false" customHeight="false" outlineLevel="0" collapsed="false">
      <c r="A192" s="0" t="s">
        <v>151</v>
      </c>
    </row>
    <row r="193" customFormat="false" ht="13.8" hidden="false" customHeight="false" outlineLevel="0" collapsed="false">
      <c r="A193" s="0" t="s">
        <v>152</v>
      </c>
    </row>
    <row r="194" customFormat="false" ht="13.8" hidden="false" customHeight="false" outlineLevel="0" collapsed="false">
      <c r="A194" s="0" t="s">
        <v>198</v>
      </c>
    </row>
    <row r="195" customFormat="false" ht="13.8" hidden="false" customHeight="false" outlineLevel="0" collapsed="false">
      <c r="A195" s="0" t="s">
        <v>199</v>
      </c>
    </row>
    <row r="196" customFormat="false" ht="13.8" hidden="false" customHeight="false" outlineLevel="0" collapsed="false">
      <c r="A196" s="0" t="s">
        <v>200</v>
      </c>
    </row>
    <row r="197" customFormat="false" ht="13.8" hidden="false" customHeight="false" outlineLevel="0" collapsed="false">
      <c r="A197" s="0" t="s">
        <v>90</v>
      </c>
    </row>
    <row r="198" customFormat="false" ht="13.8" hidden="false" customHeight="false" outlineLevel="0" collapsed="false">
      <c r="A198" s="0" t="s">
        <v>92</v>
      </c>
    </row>
    <row r="199" customFormat="false" ht="13.8" hidden="false" customHeight="false" outlineLevel="0" collapsed="false">
      <c r="A199" s="0" t="s">
        <v>93</v>
      </c>
    </row>
    <row r="205" customFormat="false" ht="13.8" hidden="false" customHeight="false" outlineLevel="0" collapsed="false">
      <c r="A205" s="0" t="s">
        <v>222</v>
      </c>
    </row>
    <row r="206" customFormat="false" ht="13.8" hidden="false" customHeight="false" outlineLevel="0" collapsed="false">
      <c r="A206" s="0" t="s">
        <v>82</v>
      </c>
    </row>
    <row r="207" customFormat="false" ht="13.8" hidden="false" customHeight="false" outlineLevel="0" collapsed="false">
      <c r="A207" s="0" t="s">
        <v>223</v>
      </c>
      <c r="G207" s="0" t="s">
        <v>224</v>
      </c>
    </row>
    <row r="208" customFormat="false" ht="13.8" hidden="false" customHeight="false" outlineLevel="0" collapsed="false">
      <c r="A208" s="0" t="s">
        <v>225</v>
      </c>
      <c r="G208" s="0" t="s">
        <v>226</v>
      </c>
    </row>
    <row r="209" customFormat="false" ht="13.8" hidden="false" customHeight="false" outlineLevel="0" collapsed="false">
      <c r="A209" s="0" t="s">
        <v>151</v>
      </c>
    </row>
    <row r="210" customFormat="false" ht="13.8" hidden="false" customHeight="false" outlineLevel="0" collapsed="false">
      <c r="A210" s="0" t="s">
        <v>152</v>
      </c>
    </row>
    <row r="211" customFormat="false" ht="13.8" hidden="false" customHeight="false" outlineLevel="0" collapsed="false">
      <c r="A211" s="0" t="s">
        <v>198</v>
      </c>
    </row>
    <row r="212" customFormat="false" ht="13.8" hidden="false" customHeight="false" outlineLevel="0" collapsed="false">
      <c r="A212" s="0" t="s">
        <v>199</v>
      </c>
    </row>
    <row r="213" customFormat="false" ht="13.8" hidden="false" customHeight="false" outlineLevel="0" collapsed="false">
      <c r="A213" s="0" t="s">
        <v>227</v>
      </c>
    </row>
    <row r="214" customFormat="false" ht="13.8" hidden="false" customHeight="false" outlineLevel="0" collapsed="false">
      <c r="A214" s="0" t="s">
        <v>90</v>
      </c>
    </row>
    <row r="215" customFormat="false" ht="13.8" hidden="false" customHeight="false" outlineLevel="0" collapsed="false">
      <c r="A215" s="0" t="s">
        <v>92</v>
      </c>
    </row>
    <row r="216" customFormat="false" ht="13.8" hidden="false" customHeight="false" outlineLevel="0" collapsed="false">
      <c r="A216" s="0" t="s">
        <v>93</v>
      </c>
    </row>
    <row r="220" customFormat="false" ht="13.8" hidden="false" customHeight="false" outlineLevel="0" collapsed="false">
      <c r="A220" s="0" t="s">
        <v>228</v>
      </c>
    </row>
    <row r="221" customFormat="false" ht="13.8" hidden="false" customHeight="false" outlineLevel="0" collapsed="false">
      <c r="A221" s="0" t="s">
        <v>82</v>
      </c>
      <c r="F221" s="0" t="s">
        <v>229</v>
      </c>
    </row>
    <row r="222" customFormat="false" ht="13.8" hidden="false" customHeight="false" outlineLevel="0" collapsed="false">
      <c r="A222" s="0" t="s">
        <v>230</v>
      </c>
    </row>
    <row r="223" customFormat="false" ht="13.8" hidden="false" customHeight="false" outlineLevel="0" collapsed="false">
      <c r="A223" s="0" t="s">
        <v>231</v>
      </c>
    </row>
    <row r="224" customFormat="false" ht="13.8" hidden="false" customHeight="false" outlineLevel="0" collapsed="false">
      <c r="A224" s="0" t="s">
        <v>151</v>
      </c>
    </row>
    <row r="225" customFormat="false" ht="13.8" hidden="false" customHeight="false" outlineLevel="0" collapsed="false">
      <c r="A225" s="0" t="s">
        <v>152</v>
      </c>
    </row>
    <row r="226" customFormat="false" ht="13.8" hidden="false" customHeight="false" outlineLevel="0" collapsed="false">
      <c r="A226" s="0" t="s">
        <v>198</v>
      </c>
    </row>
    <row r="227" customFormat="false" ht="13.8" hidden="false" customHeight="false" outlineLevel="0" collapsed="false">
      <c r="A227" s="0" t="s">
        <v>199</v>
      </c>
    </row>
    <row r="228" customFormat="false" ht="13.8" hidden="false" customHeight="false" outlineLevel="0" collapsed="false">
      <c r="A228" s="0" t="s">
        <v>227</v>
      </c>
    </row>
    <row r="229" customFormat="false" ht="13.8" hidden="false" customHeight="false" outlineLevel="0" collapsed="false">
      <c r="A229" s="0" t="s">
        <v>90</v>
      </c>
    </row>
    <row r="230" customFormat="false" ht="13.8" hidden="false" customHeight="false" outlineLevel="0" collapsed="false">
      <c r="A230" s="0" t="s">
        <v>92</v>
      </c>
    </row>
    <row r="231" customFormat="false" ht="13.8" hidden="false" customHeight="false" outlineLevel="0" collapsed="false">
      <c r="A231" s="0" t="s">
        <v>93</v>
      </c>
    </row>
    <row r="236" customFormat="false" ht="13.8" hidden="false" customHeight="false" outlineLevel="0" collapsed="false">
      <c r="A236" s="0" t="s">
        <v>232</v>
      </c>
    </row>
    <row r="237" customFormat="false" ht="13.8" hidden="false" customHeight="false" outlineLevel="0" collapsed="false">
      <c r="A237" s="0" t="s">
        <v>82</v>
      </c>
    </row>
    <row r="238" customFormat="false" ht="13.8" hidden="false" customHeight="false" outlineLevel="0" collapsed="false">
      <c r="A238" s="0" t="s">
        <v>233</v>
      </c>
    </row>
    <row r="239" customFormat="false" ht="13.8" hidden="false" customHeight="false" outlineLevel="0" collapsed="false">
      <c r="A239" s="0" t="s">
        <v>234</v>
      </c>
    </row>
    <row r="240" customFormat="false" ht="13.8" hidden="false" customHeight="false" outlineLevel="0" collapsed="false">
      <c r="A240" s="0" t="s">
        <v>151</v>
      </c>
    </row>
    <row r="241" customFormat="false" ht="13.8" hidden="false" customHeight="false" outlineLevel="0" collapsed="false">
      <c r="A241" s="0" t="s">
        <v>152</v>
      </c>
    </row>
    <row r="242" customFormat="false" ht="13.8" hidden="false" customHeight="false" outlineLevel="0" collapsed="false">
      <c r="A242" s="0" t="s">
        <v>235</v>
      </c>
    </row>
    <row r="243" customFormat="false" ht="13.8" hidden="false" customHeight="false" outlineLevel="0" collapsed="false">
      <c r="A243" s="0" t="s">
        <v>173</v>
      </c>
    </row>
    <row r="244" customFormat="false" ht="13.8" hidden="false" customHeight="false" outlineLevel="0" collapsed="false">
      <c r="A244" s="0" t="s">
        <v>92</v>
      </c>
    </row>
    <row r="245" customFormat="false" ht="13.8" hidden="false" customHeight="false" outlineLevel="0" collapsed="false">
      <c r="A245" s="0" t="s">
        <v>93</v>
      </c>
    </row>
    <row r="251" customFormat="false" ht="13.8" hidden="false" customHeight="false" outlineLevel="0" collapsed="false">
      <c r="A251" s="0" t="s">
        <v>236</v>
      </c>
    </row>
    <row r="252" customFormat="false" ht="13.8" hidden="false" customHeight="false" outlineLevel="0" collapsed="false">
      <c r="A252" s="0" t="s">
        <v>82</v>
      </c>
    </row>
    <row r="253" customFormat="false" ht="13.8" hidden="false" customHeight="false" outlineLevel="0" collapsed="false">
      <c r="A253" s="0" t="s">
        <v>237</v>
      </c>
    </row>
    <row r="254" customFormat="false" ht="13.8" hidden="false" customHeight="false" outlineLevel="0" collapsed="false">
      <c r="A254" s="0" t="s">
        <v>238</v>
      </c>
    </row>
    <row r="255" customFormat="false" ht="13.8" hidden="false" customHeight="false" outlineLevel="0" collapsed="false">
      <c r="A255" s="0" t="s">
        <v>151</v>
      </c>
    </row>
    <row r="256" customFormat="false" ht="13.8" hidden="false" customHeight="false" outlineLevel="0" collapsed="false">
      <c r="A256" s="0" t="s">
        <v>152</v>
      </c>
    </row>
    <row r="257" customFormat="false" ht="13.8" hidden="false" customHeight="false" outlineLevel="0" collapsed="false">
      <c r="A257" s="0" t="s">
        <v>239</v>
      </c>
    </row>
    <row r="258" customFormat="false" ht="13.8" hidden="false" customHeight="false" outlineLevel="0" collapsed="false">
      <c r="A258" s="0" t="s">
        <v>92</v>
      </c>
    </row>
    <row r="259" customFormat="false" ht="13.8" hidden="false" customHeight="false" outlineLevel="0" collapsed="false">
      <c r="A259" s="0" t="s">
        <v>93</v>
      </c>
    </row>
    <row r="264" customFormat="false" ht="13.8" hidden="false" customHeight="false" outlineLevel="0" collapsed="false">
      <c r="A264" s="0" t="s">
        <v>240</v>
      </c>
    </row>
    <row r="265" customFormat="false" ht="13.8" hidden="false" customHeight="false" outlineLevel="0" collapsed="false">
      <c r="A265" s="0" t="s">
        <v>82</v>
      </c>
    </row>
    <row r="266" customFormat="false" ht="13.8" hidden="false" customHeight="false" outlineLevel="0" collapsed="false">
      <c r="A266" s="0" t="s">
        <v>241</v>
      </c>
    </row>
    <row r="267" customFormat="false" ht="13.8" hidden="false" customHeight="false" outlineLevel="0" collapsed="false">
      <c r="A267" s="0" t="s">
        <v>242</v>
      </c>
    </row>
    <row r="268" customFormat="false" ht="13.8" hidden="false" customHeight="false" outlineLevel="0" collapsed="false">
      <c r="A268" s="0" t="s">
        <v>151</v>
      </c>
    </row>
    <row r="269" customFormat="false" ht="13.8" hidden="false" customHeight="false" outlineLevel="0" collapsed="false">
      <c r="A269" s="0" t="s">
        <v>152</v>
      </c>
    </row>
    <row r="270" customFormat="false" ht="13.8" hidden="false" customHeight="false" outlineLevel="0" collapsed="false">
      <c r="A270" s="0" t="s">
        <v>243</v>
      </c>
    </row>
    <row r="271" customFormat="false" ht="13.8" hidden="false" customHeight="false" outlineLevel="0" collapsed="false">
      <c r="A271" s="0" t="s">
        <v>92</v>
      </c>
    </row>
    <row r="272" customFormat="false" ht="13.8" hidden="false" customHeight="false" outlineLevel="0" collapsed="false">
      <c r="A272" s="0" t="s">
        <v>93</v>
      </c>
    </row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L210"/>
  <sheetViews>
    <sheetView windowProtection="false" showFormulas="false" showGridLines="true" showRowColHeaders="true" showZeros="true" rightToLeft="false" tabSelected="false" showOutlineSymbols="true" defaultGridColor="true" view="normal" topLeftCell="A114" colorId="64" zoomScale="100" zoomScaleNormal="100" zoomScalePageLayoutView="100" workbookViewId="0">
      <selection pane="topLeft" activeCell="I131" activeCellId="0" sqref="I131"/>
    </sheetView>
  </sheetViews>
  <sheetFormatPr defaultRowHeight="13.8"/>
  <cols>
    <col collapsed="false" hidden="false" max="1025" min="1" style="0" width="8.50510204081633"/>
  </cols>
  <sheetData>
    <row r="1" customFormat="false" ht="13.8" hidden="false" customHeight="false" outlineLevel="0" collapsed="false">
      <c r="A1" s="0" t="n">
        <v>8360</v>
      </c>
      <c r="C1" s="0" t="str">
        <f aca="false">CONCATENATE("wget --header='Accept-Language: en-us,en;q=0.5' -T 600 http://127.0.0.1/karbitexchanges/bitcointalk/tambah_announcementaltcoin?halaman=",Sheet9!A1," --delete-after")</f>
        <v>wget --header='Accept-Language: en-us,en;q=0.5' -T 600 http://127.0.0.1/karbitexchanges/bitcointalk/tambah_announcementaltcoin?halaman=8360 --delete-after</v>
      </c>
      <c r="D1" s="0" t="str">
        <f aca="false">CONCATENATE("wget --header='Accept-Language: en-us,en;q=0.5' -T 600 http://127.0.0.1/karbitexchanges/bitcointalk/tambah_marketplacealtcoin?halaman=",Sheet9!L1," --delete-after")</f>
        <v>wget --header='Accept-Language: en-us,en;q=0.5' -T 600 http://127.0.0.1/karbitexchanges/bitcointalk/tambah_marketplacealtcoin?halaman=6840 --delete-after</v>
      </c>
      <c r="E1" s="0" t="s">
        <v>244</v>
      </c>
      <c r="F1" s="0" t="s">
        <v>244</v>
      </c>
      <c r="L1" s="0" t="n">
        <v>6840</v>
      </c>
    </row>
    <row r="2" customFormat="false" ht="13.8" hidden="false" customHeight="false" outlineLevel="0" collapsed="false">
      <c r="A2" s="0" t="n">
        <f aca="false">Sheet9!A1-40</f>
        <v>8320</v>
      </c>
      <c r="C2" s="0" t="str">
        <f aca="false">CONCATENATE("wget --header='Accept-Language: en-us,en;q=0.5' -T 600 http://127.0.0.1/karbitexchanges/bitcointalk/tambah_announcementaltcoin?halaman=",Sheet9!A2," --delete-after")</f>
        <v>wget --header='Accept-Language: en-us,en;q=0.5' -T 600 http://127.0.0.1/karbitexchanges/bitcointalk/tambah_announcementaltcoin?halaman=8320 --delete-after</v>
      </c>
      <c r="D2" s="0" t="str">
        <f aca="false">CONCATENATE("wget --header='Accept-Language: en-us,en;q=0.5' -T 600 http://127.0.0.1/karbitexchanges/bitcointalk/tambah_marketplacealtcoin?halaman=",Sheet9!L2," --delete-after")</f>
        <v>wget --header='Accept-Language: en-us,en;q=0.5' -T 600 http://127.0.0.1/karbitexchanges/bitcointalk/tambah_marketplacealtcoin?halaman=6800 --delete-after</v>
      </c>
      <c r="E2" s="0" t="s">
        <v>244</v>
      </c>
      <c r="F2" s="0" t="s">
        <v>244</v>
      </c>
      <c r="L2" s="0" t="n">
        <f aca="false">Sheet9!L1-40</f>
        <v>6800</v>
      </c>
    </row>
    <row r="3" customFormat="false" ht="13.8" hidden="false" customHeight="false" outlineLevel="0" collapsed="false">
      <c r="A3" s="0" t="n">
        <f aca="false">Sheet9!A2-40</f>
        <v>8280</v>
      </c>
      <c r="C3" s="0" t="str">
        <f aca="false">CONCATENATE("wget --header='Accept-Language: en-us,en;q=0.5' -T 600 http://127.0.0.1/karbitexchanges/bitcointalk/tambah_announcementaltcoin?halaman=",Sheet9!A3," --delete-after")</f>
        <v>wget --header='Accept-Language: en-us,en;q=0.5' -T 600 http://127.0.0.1/karbitexchanges/bitcointalk/tambah_announcementaltcoin?halaman=8280 --delete-after</v>
      </c>
      <c r="D3" s="0" t="str">
        <f aca="false">CONCATENATE("wget --header='Accept-Language: en-us,en;q=0.5' -T 600 http://127.0.0.1/karbitexchanges/bitcointalk/tambah_marketplacealtcoin?halaman=",Sheet9!L3," --delete-after")</f>
        <v>wget --header='Accept-Language: en-us,en;q=0.5' -T 600 http://127.0.0.1/karbitexchanges/bitcointalk/tambah_marketplacealtcoin?halaman=6760 --delete-after</v>
      </c>
      <c r="E3" s="0" t="s">
        <v>245</v>
      </c>
      <c r="F3" s="0" t="s">
        <v>244</v>
      </c>
      <c r="L3" s="0" t="n">
        <f aca="false">Sheet9!L2-40</f>
        <v>6760</v>
      </c>
    </row>
    <row r="4" customFormat="false" ht="13.8" hidden="false" customHeight="false" outlineLevel="0" collapsed="false">
      <c r="A4" s="0" t="n">
        <f aca="false">Sheet9!A3-40</f>
        <v>8240</v>
      </c>
      <c r="C4" s="0" t="str">
        <f aca="false">CONCATENATE("wget --header='Accept-Language: en-us,en;q=0.5' -T 600 http://127.0.0.1/karbitexchanges/bitcointalk/tambah_announcementaltcoin?halaman=",Sheet9!A4," --delete-after")</f>
        <v>wget --header='Accept-Language: en-us,en;q=0.5' -T 600 http://127.0.0.1/karbitexchanges/bitcointalk/tambah_announcementaltcoin?halaman=8240 --delete-after</v>
      </c>
      <c r="D4" s="0" t="str">
        <f aca="false">CONCATENATE("wget --header='Accept-Language: en-us,en;q=0.5' -T 600 http://127.0.0.1/karbitexchanges/bitcointalk/tambah_marketplacealtcoin?halaman=",Sheet9!L4," --delete-after")</f>
        <v>wget --header='Accept-Language: en-us,en;q=0.5' -T 600 http://127.0.0.1/karbitexchanges/bitcointalk/tambah_marketplacealtcoin?halaman=6720 --delete-after</v>
      </c>
      <c r="E4" s="0" t="s">
        <v>246</v>
      </c>
      <c r="F4" s="0" t="s">
        <v>244</v>
      </c>
      <c r="L4" s="0" t="n">
        <f aca="false">Sheet9!L3-40</f>
        <v>6720</v>
      </c>
    </row>
    <row r="5" customFormat="false" ht="13.8" hidden="false" customHeight="false" outlineLevel="0" collapsed="false">
      <c r="A5" s="0" t="n">
        <f aca="false">Sheet9!A4-40</f>
        <v>8200</v>
      </c>
      <c r="C5" s="0" t="str">
        <f aca="false">CONCATENATE("wget --header='Accept-Language: en-us,en;q=0.5' -T 600 http://127.0.0.1/karbitexchanges/bitcointalk/tambah_announcementaltcoin?halaman=",Sheet9!A5," --delete-after")</f>
        <v>wget --header='Accept-Language: en-us,en;q=0.5' -T 600 http://127.0.0.1/karbitexchanges/bitcointalk/tambah_announcementaltcoin?halaman=8200 --delete-after</v>
      </c>
      <c r="D5" s="0" t="str">
        <f aca="false">CONCATENATE("wget --header='Accept-Language: en-us,en;q=0.5' -T 600 http://127.0.0.1/karbitexchanges/bitcointalk/tambah_marketplacealtcoin?halaman=",Sheet9!L5," --delete-after")</f>
        <v>wget --header='Accept-Language: en-us,en;q=0.5' -T 600 http://127.0.0.1/karbitexchanges/bitcointalk/tambah_marketplacealtcoin?halaman=6680 --delete-after</v>
      </c>
      <c r="E5" s="0" t="s">
        <v>247</v>
      </c>
      <c r="F5" s="0" t="s">
        <v>244</v>
      </c>
      <c r="L5" s="0" t="n">
        <f aca="false">Sheet9!L4-40</f>
        <v>6680</v>
      </c>
    </row>
    <row r="6" customFormat="false" ht="13.8" hidden="false" customHeight="false" outlineLevel="0" collapsed="false">
      <c r="A6" s="0" t="n">
        <f aca="false">Sheet9!A5-40</f>
        <v>8160</v>
      </c>
      <c r="C6" s="0" t="str">
        <f aca="false">CONCATENATE("wget --header='Accept-Language: en-us,en;q=0.5' -T 600 http://127.0.0.1/karbitexchanges/bitcointalk/tambah_announcementaltcoin?halaman=",Sheet9!A6," --delete-after")</f>
        <v>wget --header='Accept-Language: en-us,en;q=0.5' -T 600 http://127.0.0.1/karbitexchanges/bitcointalk/tambah_announcementaltcoin?halaman=8160 --delete-after</v>
      </c>
      <c r="D6" s="0" t="str">
        <f aca="false">CONCATENATE("wget --header='Accept-Language: en-us,en;q=0.5' -T 600 http://127.0.0.1/karbitexchanges/bitcointalk/tambah_marketplacealtcoin?halaman=",Sheet9!L6," --delete-after")</f>
        <v>wget --header='Accept-Language: en-us,en;q=0.5' -T 600 http://127.0.0.1/karbitexchanges/bitcointalk/tambah_marketplacealtcoin?halaman=6640 --delete-after</v>
      </c>
      <c r="E6" s="0" t="s">
        <v>248</v>
      </c>
      <c r="F6" s="0" t="s">
        <v>244</v>
      </c>
      <c r="L6" s="0" t="n">
        <f aca="false">Sheet9!L5-40</f>
        <v>6640</v>
      </c>
    </row>
    <row r="7" customFormat="false" ht="13.8" hidden="false" customHeight="false" outlineLevel="0" collapsed="false">
      <c r="A7" s="0" t="n">
        <f aca="false">Sheet9!A6-40</f>
        <v>8120</v>
      </c>
      <c r="C7" s="0" t="str">
        <f aca="false">CONCATENATE("wget --header='Accept-Language: en-us,en;q=0.5' -T 600 http://127.0.0.1/karbitexchanges/bitcointalk/tambah_announcementaltcoin?halaman=",Sheet9!A7," --delete-after")</f>
        <v>wget --header='Accept-Language: en-us,en;q=0.5' -T 600 http://127.0.0.1/karbitexchanges/bitcointalk/tambah_announcementaltcoin?halaman=8120 --delete-after</v>
      </c>
      <c r="D7" s="0" t="str">
        <f aca="false">CONCATENATE("wget --header='Accept-Language: en-us,en;q=0.5' -T 600 http://127.0.0.1/karbitexchanges/bitcointalk/tambah_marketplacealtcoin?halaman=",Sheet9!L7," --delete-after")</f>
        <v>wget --header='Accept-Language: en-us,en;q=0.5' -T 600 http://127.0.0.1/karbitexchanges/bitcointalk/tambah_marketplacealtcoin?halaman=6600 --delete-after</v>
      </c>
      <c r="E7" s="0" t="s">
        <v>249</v>
      </c>
      <c r="F7" s="0" t="s">
        <v>244</v>
      </c>
      <c r="L7" s="0" t="n">
        <f aca="false">Sheet9!L6-40</f>
        <v>6600</v>
      </c>
    </row>
    <row r="8" customFormat="false" ht="13.8" hidden="false" customHeight="false" outlineLevel="0" collapsed="false">
      <c r="A8" s="0" t="n">
        <f aca="false">Sheet9!A7-40</f>
        <v>8080</v>
      </c>
      <c r="C8" s="0" t="str">
        <f aca="false">CONCATENATE("wget --header='Accept-Language: en-us,en;q=0.5' -T 600 http://127.0.0.1/karbitexchanges/bitcointalk/tambah_announcementaltcoin?halaman=",Sheet9!A8," --delete-after")</f>
        <v>wget --header='Accept-Language: en-us,en;q=0.5' -T 600 http://127.0.0.1/karbitexchanges/bitcointalk/tambah_announcementaltcoin?halaman=8080 --delete-after</v>
      </c>
      <c r="D8" s="0" t="str">
        <f aca="false">CONCATENATE("wget --header='Accept-Language: en-us,en;q=0.5' -T 600 http://127.0.0.1/karbitexchanges/bitcointalk/tambah_marketplacealtcoin?halaman=",Sheet9!L8," --delete-after")</f>
        <v>wget --header='Accept-Language: en-us,en;q=0.5' -T 600 http://127.0.0.1/karbitexchanges/bitcointalk/tambah_marketplacealtcoin?halaman=6560 --delete-after</v>
      </c>
      <c r="E8" s="0" t="s">
        <v>250</v>
      </c>
      <c r="F8" s="0" t="s">
        <v>244</v>
      </c>
      <c r="L8" s="0" t="n">
        <f aca="false">Sheet9!L7-40</f>
        <v>6560</v>
      </c>
    </row>
    <row r="9" customFormat="false" ht="13.8" hidden="false" customHeight="false" outlineLevel="0" collapsed="false">
      <c r="A9" s="0" t="n">
        <f aca="false">Sheet9!A8-40</f>
        <v>8040</v>
      </c>
      <c r="C9" s="0" t="str">
        <f aca="false">CONCATENATE("wget --header='Accept-Language: en-us,en;q=0.5' -T 600 http://127.0.0.1/karbitexchanges/bitcointalk/tambah_announcementaltcoin?halaman=",Sheet9!A9," --delete-after")</f>
        <v>wget --header='Accept-Language: en-us,en;q=0.5' -T 600 http://127.0.0.1/karbitexchanges/bitcointalk/tambah_announcementaltcoin?halaman=8040 --delete-after</v>
      </c>
      <c r="D9" s="0" t="str">
        <f aca="false">CONCATENATE("wget --header='Accept-Language: en-us,en;q=0.5' -T 600 http://127.0.0.1/karbitexchanges/bitcointalk/tambah_marketplacealtcoin?halaman=",Sheet9!L9," --delete-after")</f>
        <v>wget --header='Accept-Language: en-us,en;q=0.5' -T 600 http://127.0.0.1/karbitexchanges/bitcointalk/tambah_marketplacealtcoin?halaman=6520 --delete-after</v>
      </c>
      <c r="E9" s="0" t="s">
        <v>251</v>
      </c>
      <c r="F9" s="0" t="s">
        <v>244</v>
      </c>
      <c r="L9" s="0" t="n">
        <f aca="false">Sheet9!L8-40</f>
        <v>6520</v>
      </c>
    </row>
    <row r="10" customFormat="false" ht="13.8" hidden="false" customHeight="false" outlineLevel="0" collapsed="false">
      <c r="A10" s="0" t="n">
        <f aca="false">Sheet9!A9-40</f>
        <v>8000</v>
      </c>
      <c r="C10" s="0" t="str">
        <f aca="false">CONCATENATE("wget --header='Accept-Language: en-us,en;q=0.5' -T 600 http://127.0.0.1/karbitexchanges/bitcointalk/tambah_announcementaltcoin?halaman=",Sheet9!A10," --delete-after")</f>
        <v>wget --header='Accept-Language: en-us,en;q=0.5' -T 600 http://127.0.0.1/karbitexchanges/bitcointalk/tambah_announcementaltcoin?halaman=8000 --delete-after</v>
      </c>
      <c r="D10" s="0" t="str">
        <f aca="false">CONCATENATE("wget --header='Accept-Language: en-us,en;q=0.5' -T 600 http://127.0.0.1/karbitexchanges/bitcointalk/tambah_marketplacealtcoin?halaman=",Sheet9!L10," --delete-after")</f>
        <v>wget --header='Accept-Language: en-us,en;q=0.5' -T 600 http://127.0.0.1/karbitexchanges/bitcointalk/tambah_marketplacealtcoin?halaman=6480 --delete-after</v>
      </c>
      <c r="E10" s="0" t="s">
        <v>252</v>
      </c>
      <c r="F10" s="0" t="s">
        <v>244</v>
      </c>
      <c r="L10" s="0" t="n">
        <f aca="false">Sheet9!L9-40</f>
        <v>6480</v>
      </c>
    </row>
    <row r="11" customFormat="false" ht="13.8" hidden="false" customHeight="false" outlineLevel="0" collapsed="false">
      <c r="A11" s="0" t="n">
        <f aca="false">Sheet9!A10-40</f>
        <v>7960</v>
      </c>
      <c r="C11" s="0" t="str">
        <f aca="false">CONCATENATE("wget --header='Accept-Language: en-us,en;q=0.5' -T 600 http://127.0.0.1/karbitexchanges/bitcointalk/tambah_announcementaltcoin?halaman=",Sheet9!A11," --delete-after")</f>
        <v>wget --header='Accept-Language: en-us,en;q=0.5' -T 600 http://127.0.0.1/karbitexchanges/bitcointalk/tambah_announcementaltcoin?halaman=7960 --delete-after</v>
      </c>
      <c r="D11" s="0" t="str">
        <f aca="false">CONCATENATE("wget --header='Accept-Language: en-us,en;q=0.5' -T 600 http://127.0.0.1/karbitexchanges/bitcointalk/tambah_marketplacealtcoin?halaman=",Sheet9!L11," --delete-after")</f>
        <v>wget --header='Accept-Language: en-us,en;q=0.5' -T 600 http://127.0.0.1/karbitexchanges/bitcointalk/tambah_marketplacealtcoin?halaman=6440 --delete-after</v>
      </c>
      <c r="E11" s="0" t="s">
        <v>253</v>
      </c>
      <c r="F11" s="0" t="s">
        <v>244</v>
      </c>
      <c r="L11" s="0" t="n">
        <f aca="false">Sheet9!L10-40</f>
        <v>6440</v>
      </c>
    </row>
    <row r="12" customFormat="false" ht="13.8" hidden="false" customHeight="false" outlineLevel="0" collapsed="false">
      <c r="A12" s="0" t="n">
        <f aca="false">Sheet9!A11-40</f>
        <v>7920</v>
      </c>
      <c r="C12" s="0" t="str">
        <f aca="false">CONCATENATE("wget --header='Accept-Language: en-us,en;q=0.5' -T 600 http://127.0.0.1/karbitexchanges/bitcointalk/tambah_announcementaltcoin?halaman=",Sheet9!A12," --delete-after")</f>
        <v>wget --header='Accept-Language: en-us,en;q=0.5' -T 600 http://127.0.0.1/karbitexchanges/bitcointalk/tambah_announcementaltcoin?halaman=7920 --delete-after</v>
      </c>
      <c r="D12" s="0" t="str">
        <f aca="false">CONCATENATE("wget --header='Accept-Language: en-us,en;q=0.5' -T 600 http://127.0.0.1/karbitexchanges/bitcointalk/tambah_marketplacealtcoin?halaman=",Sheet9!L12," --delete-after")</f>
        <v>wget --header='Accept-Language: en-us,en;q=0.5' -T 600 http://127.0.0.1/karbitexchanges/bitcointalk/tambah_marketplacealtcoin?halaman=6400 --delete-after</v>
      </c>
      <c r="E12" s="0" t="s">
        <v>254</v>
      </c>
      <c r="F12" s="0" t="s">
        <v>244</v>
      </c>
      <c r="L12" s="0" t="n">
        <f aca="false">Sheet9!L11-40</f>
        <v>6400</v>
      </c>
    </row>
    <row r="13" customFormat="false" ht="13.8" hidden="false" customHeight="false" outlineLevel="0" collapsed="false">
      <c r="A13" s="0" t="n">
        <f aca="false">Sheet9!A12-40</f>
        <v>7880</v>
      </c>
      <c r="C13" s="0" t="str">
        <f aca="false">CONCATENATE("wget --header='Accept-Language: en-us,en;q=0.5' -T 600 http://127.0.0.1/karbitexchanges/bitcointalk/tambah_announcementaltcoin?halaman=",Sheet9!A13," --delete-after")</f>
        <v>wget --header='Accept-Language: en-us,en;q=0.5' -T 600 http://127.0.0.1/karbitexchanges/bitcointalk/tambah_announcementaltcoin?halaman=7880 --delete-after</v>
      </c>
      <c r="D13" s="0" t="str">
        <f aca="false">CONCATENATE("wget --header='Accept-Language: en-us,en;q=0.5' -T 600 http://127.0.0.1/karbitexchanges/bitcointalk/tambah_marketplacealtcoin?halaman=",Sheet9!L13," --delete-after")</f>
        <v>wget --header='Accept-Language: en-us,en;q=0.5' -T 600 http://127.0.0.1/karbitexchanges/bitcointalk/tambah_marketplacealtcoin?halaman=6360 --delete-after</v>
      </c>
      <c r="E13" s="0" t="s">
        <v>255</v>
      </c>
      <c r="F13" s="0" t="s">
        <v>244</v>
      </c>
      <c r="L13" s="0" t="n">
        <f aca="false">Sheet9!L12-40</f>
        <v>6360</v>
      </c>
    </row>
    <row r="14" customFormat="false" ht="13.8" hidden="false" customHeight="false" outlineLevel="0" collapsed="false">
      <c r="A14" s="0" t="n">
        <f aca="false">Sheet9!A13-40</f>
        <v>7840</v>
      </c>
      <c r="C14" s="0" t="str">
        <f aca="false">CONCATENATE("wget --header='Accept-Language: en-us,en;q=0.5' -T 600 http://127.0.0.1/karbitexchanges/bitcointalk/tambah_announcementaltcoin?halaman=",Sheet9!A14," --delete-after")</f>
        <v>wget --header='Accept-Language: en-us,en;q=0.5' -T 600 http://127.0.0.1/karbitexchanges/bitcointalk/tambah_announcementaltcoin?halaman=7840 --delete-after</v>
      </c>
      <c r="D14" s="0" t="str">
        <f aca="false">CONCATENATE("wget --header='Accept-Language: en-us,en;q=0.5' -T 600 http://127.0.0.1/karbitexchanges/bitcointalk/tambah_marketplacealtcoin?halaman=",Sheet9!L14," --delete-after")</f>
        <v>wget --header='Accept-Language: en-us,en;q=0.5' -T 600 http://127.0.0.1/karbitexchanges/bitcointalk/tambah_marketplacealtcoin?halaman=6320 --delete-after</v>
      </c>
      <c r="E14" s="0" t="s">
        <v>256</v>
      </c>
      <c r="F14" s="0" t="s">
        <v>244</v>
      </c>
      <c r="L14" s="0" t="n">
        <f aca="false">Sheet9!L13-40</f>
        <v>6320</v>
      </c>
    </row>
    <row r="15" customFormat="false" ht="13.8" hidden="false" customHeight="false" outlineLevel="0" collapsed="false">
      <c r="A15" s="0" t="n">
        <f aca="false">Sheet9!A14-40</f>
        <v>7800</v>
      </c>
      <c r="C15" s="0" t="str">
        <f aca="false">CONCATENATE("wget --header='Accept-Language: en-us,en;q=0.5' -T 600 http://127.0.0.1/karbitexchanges/bitcointalk/tambah_announcementaltcoin?halaman=",Sheet9!A15," --delete-after")</f>
        <v>wget --header='Accept-Language: en-us,en;q=0.5' -T 600 http://127.0.0.1/karbitexchanges/bitcointalk/tambah_announcementaltcoin?halaman=7800 --delete-after</v>
      </c>
      <c r="D15" s="0" t="str">
        <f aca="false">CONCATENATE("wget --header='Accept-Language: en-us,en;q=0.5' -T 600 http://127.0.0.1/karbitexchanges/bitcointalk/tambah_marketplacealtcoin?halaman=",Sheet9!L15," --delete-after")</f>
        <v>wget --header='Accept-Language: en-us,en;q=0.5' -T 600 http://127.0.0.1/karbitexchanges/bitcointalk/tambah_marketplacealtcoin?halaman=6280 --delete-after</v>
      </c>
      <c r="E15" s="0" t="s">
        <v>257</v>
      </c>
      <c r="F15" s="0" t="s">
        <v>244</v>
      </c>
      <c r="L15" s="0" t="n">
        <f aca="false">Sheet9!L14-40</f>
        <v>6280</v>
      </c>
    </row>
    <row r="16" customFormat="false" ht="13.8" hidden="false" customHeight="false" outlineLevel="0" collapsed="false">
      <c r="A16" s="0" t="n">
        <f aca="false">Sheet9!A15-40</f>
        <v>7760</v>
      </c>
      <c r="C16" s="0" t="str">
        <f aca="false">CONCATENATE("wget --header='Accept-Language: en-us,en;q=0.5' -T 600 http://127.0.0.1/karbitexchanges/bitcointalk/tambah_announcementaltcoin?halaman=",Sheet9!A16," --delete-after")</f>
        <v>wget --header='Accept-Language: en-us,en;q=0.5' -T 600 http://127.0.0.1/karbitexchanges/bitcointalk/tambah_announcementaltcoin?halaman=7760 --delete-after</v>
      </c>
      <c r="D16" s="0" t="str">
        <f aca="false">CONCATENATE("wget --header='Accept-Language: en-us,en;q=0.5' -T 600 http://127.0.0.1/karbitexchanges/bitcointalk/tambah_marketplacealtcoin?halaman=",Sheet9!L16," --delete-after")</f>
        <v>wget --header='Accept-Language: en-us,en;q=0.5' -T 600 http://127.0.0.1/karbitexchanges/bitcointalk/tambah_marketplacealtcoin?halaman=6240 --delete-after</v>
      </c>
      <c r="E16" s="0" t="s">
        <v>258</v>
      </c>
      <c r="F16" s="0" t="s">
        <v>244</v>
      </c>
      <c r="L16" s="0" t="n">
        <f aca="false">Sheet9!L15-40</f>
        <v>6240</v>
      </c>
    </row>
    <row r="17" customFormat="false" ht="13.8" hidden="false" customHeight="false" outlineLevel="0" collapsed="false">
      <c r="A17" s="0" t="n">
        <f aca="false">Sheet9!A16-40</f>
        <v>7720</v>
      </c>
      <c r="C17" s="0" t="str">
        <f aca="false">CONCATENATE("wget --header='Accept-Language: en-us,en;q=0.5' -T 600 http://127.0.0.1/karbitexchanges/bitcointalk/tambah_announcementaltcoin?halaman=",Sheet9!A17," --delete-after")</f>
        <v>wget --header='Accept-Language: en-us,en;q=0.5' -T 600 http://127.0.0.1/karbitexchanges/bitcointalk/tambah_announcementaltcoin?halaman=7720 --delete-after</v>
      </c>
      <c r="D17" s="0" t="str">
        <f aca="false">CONCATENATE("wget --header='Accept-Language: en-us,en;q=0.5' -T 600 http://127.0.0.1/karbitexchanges/bitcointalk/tambah_marketplacealtcoin?halaman=",Sheet9!L17," --delete-after")</f>
        <v>wget --header='Accept-Language: en-us,en;q=0.5' -T 600 http://127.0.0.1/karbitexchanges/bitcointalk/tambah_marketplacealtcoin?halaman=6200 --delete-after</v>
      </c>
      <c r="E17" s="0" t="s">
        <v>259</v>
      </c>
      <c r="F17" s="0" t="s">
        <v>244</v>
      </c>
      <c r="L17" s="0" t="n">
        <f aca="false">Sheet9!L16-40</f>
        <v>6200</v>
      </c>
    </row>
    <row r="18" customFormat="false" ht="13.8" hidden="false" customHeight="false" outlineLevel="0" collapsed="false">
      <c r="A18" s="0" t="n">
        <f aca="false">Sheet9!A17-40</f>
        <v>7680</v>
      </c>
      <c r="C18" s="0" t="str">
        <f aca="false">CONCATENATE("wget --header='Accept-Language: en-us,en;q=0.5' -T 600 http://127.0.0.1/karbitexchanges/bitcointalk/tambah_announcementaltcoin?halaman=",Sheet9!A18," --delete-after")</f>
        <v>wget --header='Accept-Language: en-us,en;q=0.5' -T 600 http://127.0.0.1/karbitexchanges/bitcointalk/tambah_announcementaltcoin?halaman=7680 --delete-after</v>
      </c>
      <c r="D18" s="0" t="str">
        <f aca="false">CONCATENATE("wget --header='Accept-Language: en-us,en;q=0.5' -T 600 http://127.0.0.1/karbitexchanges/bitcointalk/tambah_marketplacealtcoin?halaman=",Sheet9!L18," --delete-after")</f>
        <v>wget --header='Accept-Language: en-us,en;q=0.5' -T 600 http://127.0.0.1/karbitexchanges/bitcointalk/tambah_marketplacealtcoin?halaman=6160 --delete-after</v>
      </c>
      <c r="E18" s="0" t="s">
        <v>260</v>
      </c>
      <c r="F18" s="0" t="s">
        <v>244</v>
      </c>
      <c r="L18" s="0" t="n">
        <f aca="false">Sheet9!L17-40</f>
        <v>6160</v>
      </c>
    </row>
    <row r="19" customFormat="false" ht="13.8" hidden="false" customHeight="false" outlineLevel="0" collapsed="false">
      <c r="A19" s="0" t="n">
        <f aca="false">Sheet9!A18-40</f>
        <v>7640</v>
      </c>
      <c r="C19" s="0" t="str">
        <f aca="false">CONCATENATE("wget --header='Accept-Language: en-us,en;q=0.5' -T 600 http://127.0.0.1/karbitexchanges/bitcointalk/tambah_announcementaltcoin?halaman=",Sheet9!A19," --delete-after")</f>
        <v>wget --header='Accept-Language: en-us,en;q=0.5' -T 600 http://127.0.0.1/karbitexchanges/bitcointalk/tambah_announcementaltcoin?halaman=7640 --delete-after</v>
      </c>
      <c r="D19" s="0" t="str">
        <f aca="false">CONCATENATE("wget --header='Accept-Language: en-us,en;q=0.5' -T 600 http://127.0.0.1/karbitexchanges/bitcointalk/tambah_marketplacealtcoin?halaman=",Sheet9!L19," --delete-after")</f>
        <v>wget --header='Accept-Language: en-us,en;q=0.5' -T 600 http://127.0.0.1/karbitexchanges/bitcointalk/tambah_marketplacealtcoin?halaman=6120 --delete-after</v>
      </c>
      <c r="E19" s="0" t="s">
        <v>261</v>
      </c>
      <c r="F19" s="0" t="s">
        <v>244</v>
      </c>
      <c r="L19" s="0" t="n">
        <f aca="false">Sheet9!L18-40</f>
        <v>6120</v>
      </c>
    </row>
    <row r="20" customFormat="false" ht="13.8" hidden="false" customHeight="false" outlineLevel="0" collapsed="false">
      <c r="A20" s="0" t="n">
        <f aca="false">Sheet9!A19-40</f>
        <v>7600</v>
      </c>
      <c r="C20" s="0" t="str">
        <f aca="false">CONCATENATE("wget --header='Accept-Language: en-us,en;q=0.5' -T 600 http://127.0.0.1/karbitexchanges/bitcointalk/tambah_announcementaltcoin?halaman=",Sheet9!A20," --delete-after")</f>
        <v>wget --header='Accept-Language: en-us,en;q=0.5' -T 600 http://127.0.0.1/karbitexchanges/bitcointalk/tambah_announcementaltcoin?halaman=7600 --delete-after</v>
      </c>
      <c r="D20" s="0" t="str">
        <f aca="false">CONCATENATE("wget --header='Accept-Language: en-us,en;q=0.5' -T 600 http://127.0.0.1/karbitexchanges/bitcointalk/tambah_marketplacealtcoin?halaman=",Sheet9!L20," --delete-after")</f>
        <v>wget --header='Accept-Language: en-us,en;q=0.5' -T 600 http://127.0.0.1/karbitexchanges/bitcointalk/tambah_marketplacealtcoin?halaman=6080 --delete-after</v>
      </c>
      <c r="E20" s="0" t="s">
        <v>262</v>
      </c>
      <c r="F20" s="0" t="s">
        <v>244</v>
      </c>
      <c r="L20" s="0" t="n">
        <f aca="false">Sheet9!L19-40</f>
        <v>6080</v>
      </c>
    </row>
    <row r="21" customFormat="false" ht="13.8" hidden="false" customHeight="false" outlineLevel="0" collapsed="false">
      <c r="A21" s="0" t="n">
        <f aca="false">Sheet9!A20-40</f>
        <v>7560</v>
      </c>
      <c r="C21" s="0" t="str">
        <f aca="false">CONCATENATE("wget --header='Accept-Language: en-us,en;q=0.5' -T 600 http://127.0.0.1/karbitexchanges/bitcointalk/tambah_announcementaltcoin?halaman=",Sheet9!A21," --delete-after")</f>
        <v>wget --header='Accept-Language: en-us,en;q=0.5' -T 600 http://127.0.0.1/karbitexchanges/bitcointalk/tambah_announcementaltcoin?halaman=7560 --delete-after</v>
      </c>
      <c r="D21" s="0" t="str">
        <f aca="false">CONCATENATE("wget --header='Accept-Language: en-us,en;q=0.5' -T 600 http://127.0.0.1/karbitexchanges/bitcointalk/tambah_marketplacealtcoin?halaman=",Sheet9!L21," --delete-after")</f>
        <v>wget --header='Accept-Language: en-us,en;q=0.5' -T 600 http://127.0.0.1/karbitexchanges/bitcointalk/tambah_marketplacealtcoin?halaman=6040 --delete-after</v>
      </c>
      <c r="E21" s="0" t="s">
        <v>263</v>
      </c>
      <c r="F21" s="0" t="s">
        <v>244</v>
      </c>
      <c r="L21" s="0" t="n">
        <f aca="false">Sheet9!L20-40</f>
        <v>6040</v>
      </c>
    </row>
    <row r="22" customFormat="false" ht="13.8" hidden="false" customHeight="false" outlineLevel="0" collapsed="false">
      <c r="A22" s="0" t="n">
        <f aca="false">Sheet9!A21-40</f>
        <v>7520</v>
      </c>
      <c r="C22" s="0" t="str">
        <f aca="false">CONCATENATE("wget --header='Accept-Language: en-us,en;q=0.5' -T 600 http://127.0.0.1/karbitexchanges/bitcointalk/tambah_announcementaltcoin?halaman=",Sheet9!A22," --delete-after")</f>
        <v>wget --header='Accept-Language: en-us,en;q=0.5' -T 600 http://127.0.0.1/karbitexchanges/bitcointalk/tambah_announcementaltcoin?halaman=7520 --delete-after</v>
      </c>
      <c r="D22" s="0" t="str">
        <f aca="false">CONCATENATE("wget --header='Accept-Language: en-us,en;q=0.5' -T 600 http://127.0.0.1/karbitexchanges/bitcointalk/tambah_marketplacealtcoin?halaman=",Sheet9!L22," --delete-after")</f>
        <v>wget --header='Accept-Language: en-us,en;q=0.5' -T 600 http://127.0.0.1/karbitexchanges/bitcointalk/tambah_marketplacealtcoin?halaman=6000 --delete-after</v>
      </c>
      <c r="E22" s="0" t="s">
        <v>264</v>
      </c>
      <c r="F22" s="0" t="s">
        <v>244</v>
      </c>
      <c r="L22" s="0" t="n">
        <f aca="false">Sheet9!L21-40</f>
        <v>6000</v>
      </c>
    </row>
    <row r="23" customFormat="false" ht="13.8" hidden="false" customHeight="false" outlineLevel="0" collapsed="false">
      <c r="A23" s="0" t="n">
        <f aca="false">Sheet9!A22-40</f>
        <v>7480</v>
      </c>
      <c r="C23" s="0" t="str">
        <f aca="false">CONCATENATE("wget --header='Accept-Language: en-us,en;q=0.5' -T 600 http://127.0.0.1/karbitexchanges/bitcointalk/tambah_announcementaltcoin?halaman=",Sheet9!A23," --delete-after")</f>
        <v>wget --header='Accept-Language: en-us,en;q=0.5' -T 600 http://127.0.0.1/karbitexchanges/bitcointalk/tambah_announcementaltcoin?halaman=7480 --delete-after</v>
      </c>
      <c r="D23" s="0" t="str">
        <f aca="false">CONCATENATE("wget --header='Accept-Language: en-us,en;q=0.5' -T 600 http://127.0.0.1/karbitexchanges/bitcointalk/tambah_marketplacealtcoin?halaman=",Sheet9!L23," --delete-after")</f>
        <v>wget --header='Accept-Language: en-us,en;q=0.5' -T 600 http://127.0.0.1/karbitexchanges/bitcointalk/tambah_marketplacealtcoin?halaman=5960 --delete-after</v>
      </c>
      <c r="E23" s="0" t="s">
        <v>265</v>
      </c>
      <c r="F23" s="0" t="s">
        <v>244</v>
      </c>
      <c r="L23" s="0" t="n">
        <f aca="false">Sheet9!L22-40</f>
        <v>5960</v>
      </c>
    </row>
    <row r="24" customFormat="false" ht="13.8" hidden="false" customHeight="false" outlineLevel="0" collapsed="false">
      <c r="A24" s="0" t="n">
        <f aca="false">Sheet9!A23-40</f>
        <v>7440</v>
      </c>
      <c r="C24" s="0" t="str">
        <f aca="false">CONCATENATE("wget --header='Accept-Language: en-us,en;q=0.5' -T 600 http://127.0.0.1/karbitexchanges/bitcointalk/tambah_announcementaltcoin?halaman=",Sheet9!A24," --delete-after")</f>
        <v>wget --header='Accept-Language: en-us,en;q=0.5' -T 600 http://127.0.0.1/karbitexchanges/bitcointalk/tambah_announcementaltcoin?halaman=7440 --delete-after</v>
      </c>
      <c r="D24" s="0" t="str">
        <f aca="false">CONCATENATE("wget --header='Accept-Language: en-us,en;q=0.5' -T 600 http://127.0.0.1/karbitexchanges/bitcointalk/tambah_marketplacealtcoin?halaman=",Sheet9!L24," --delete-after")</f>
        <v>wget --header='Accept-Language: en-us,en;q=0.5' -T 600 http://127.0.0.1/karbitexchanges/bitcointalk/tambah_marketplacealtcoin?halaman=5920 --delete-after</v>
      </c>
      <c r="E24" s="0" t="s">
        <v>266</v>
      </c>
      <c r="F24" s="0" t="s">
        <v>244</v>
      </c>
      <c r="L24" s="0" t="n">
        <f aca="false">Sheet9!L23-40</f>
        <v>5920</v>
      </c>
    </row>
    <row r="25" customFormat="false" ht="13.8" hidden="false" customHeight="false" outlineLevel="0" collapsed="false">
      <c r="A25" s="0" t="n">
        <f aca="false">Sheet9!A24-40</f>
        <v>7400</v>
      </c>
      <c r="C25" s="0" t="str">
        <f aca="false">CONCATENATE("wget --header='Accept-Language: en-us,en;q=0.5' -T 600 http://127.0.0.1/karbitexchanges/bitcointalk/tambah_announcementaltcoin?halaman=",Sheet9!A25," --delete-after")</f>
        <v>wget --header='Accept-Language: en-us,en;q=0.5' -T 600 http://127.0.0.1/karbitexchanges/bitcointalk/tambah_announcementaltcoin?halaman=7400 --delete-after</v>
      </c>
      <c r="D25" s="0" t="str">
        <f aca="false">CONCATENATE("wget --header='Accept-Language: en-us,en;q=0.5' -T 600 http://127.0.0.1/karbitexchanges/bitcointalk/tambah_marketplacealtcoin?halaman=",Sheet9!L25," --delete-after")</f>
        <v>wget --header='Accept-Language: en-us,en;q=0.5' -T 600 http://127.0.0.1/karbitexchanges/bitcointalk/tambah_marketplacealtcoin?halaman=5880 --delete-after</v>
      </c>
      <c r="E25" s="0" t="s">
        <v>267</v>
      </c>
      <c r="F25" s="0" t="s">
        <v>244</v>
      </c>
      <c r="L25" s="0" t="n">
        <f aca="false">Sheet9!L24-40</f>
        <v>5880</v>
      </c>
    </row>
    <row r="26" customFormat="false" ht="13.8" hidden="false" customHeight="false" outlineLevel="0" collapsed="false">
      <c r="A26" s="0" t="n">
        <f aca="false">Sheet9!A25-40</f>
        <v>7360</v>
      </c>
      <c r="C26" s="0" t="str">
        <f aca="false">CONCATENATE("wget --header='Accept-Language: en-us,en;q=0.5' -T 600 http://127.0.0.1/karbitexchanges/bitcointalk/tambah_announcementaltcoin?halaman=",Sheet9!A26," --delete-after")</f>
        <v>wget --header='Accept-Language: en-us,en;q=0.5' -T 600 http://127.0.0.1/karbitexchanges/bitcointalk/tambah_announcementaltcoin?halaman=7360 --delete-after</v>
      </c>
      <c r="D26" s="0" t="str">
        <f aca="false">CONCATENATE("wget --header='Accept-Language: en-us,en;q=0.5' -T 600 http://127.0.0.1/karbitexchanges/bitcointalk/tambah_marketplacealtcoin?halaman=",Sheet9!L26," --delete-after")</f>
        <v>wget --header='Accept-Language: en-us,en;q=0.5' -T 600 http://127.0.0.1/karbitexchanges/bitcointalk/tambah_marketplacealtcoin?halaman=5840 --delete-after</v>
      </c>
      <c r="E26" s="0" t="s">
        <v>268</v>
      </c>
      <c r="F26" s="0" t="s">
        <v>244</v>
      </c>
      <c r="L26" s="0" t="n">
        <f aca="false">Sheet9!L25-40</f>
        <v>5840</v>
      </c>
    </row>
    <row r="27" customFormat="false" ht="13.8" hidden="false" customHeight="false" outlineLevel="0" collapsed="false">
      <c r="A27" s="0" t="n">
        <f aca="false">Sheet9!A26-40</f>
        <v>7320</v>
      </c>
      <c r="C27" s="0" t="str">
        <f aca="false">CONCATENATE("wget --header='Accept-Language: en-us,en;q=0.5' -T 600 http://127.0.0.1/karbitexchanges/bitcointalk/tambah_announcementaltcoin?halaman=",Sheet9!A27," --delete-after")</f>
        <v>wget --header='Accept-Language: en-us,en;q=0.5' -T 600 http://127.0.0.1/karbitexchanges/bitcointalk/tambah_announcementaltcoin?halaman=7320 --delete-after</v>
      </c>
      <c r="D27" s="0" t="str">
        <f aca="false">CONCATENATE("wget --header='Accept-Language: en-us,en;q=0.5' -T 600 http://127.0.0.1/karbitexchanges/bitcointalk/tambah_marketplacealtcoin?halaman=",Sheet9!L27," --delete-after")</f>
        <v>wget --header='Accept-Language: en-us,en;q=0.5' -T 600 http://127.0.0.1/karbitexchanges/bitcointalk/tambah_marketplacealtcoin?halaman=5800 --delete-after</v>
      </c>
      <c r="E27" s="0" t="s">
        <v>269</v>
      </c>
      <c r="F27" s="0" t="s">
        <v>244</v>
      </c>
      <c r="L27" s="0" t="n">
        <f aca="false">Sheet9!L26-40</f>
        <v>5800</v>
      </c>
    </row>
    <row r="28" customFormat="false" ht="13.8" hidden="false" customHeight="false" outlineLevel="0" collapsed="false">
      <c r="A28" s="0" t="n">
        <f aca="false">Sheet9!A27-40</f>
        <v>7280</v>
      </c>
      <c r="C28" s="0" t="str">
        <f aca="false">CONCATENATE("wget --header='Accept-Language: en-us,en;q=0.5' -T 600 http://127.0.0.1/karbitexchanges/bitcointalk/tambah_announcementaltcoin?halaman=",Sheet9!A28," --delete-after")</f>
        <v>wget --header='Accept-Language: en-us,en;q=0.5' -T 600 http://127.0.0.1/karbitexchanges/bitcointalk/tambah_announcementaltcoin?halaman=7280 --delete-after</v>
      </c>
      <c r="D28" s="0" t="str">
        <f aca="false">CONCATENATE("wget --header='Accept-Language: en-us,en;q=0.5' -T 600 http://127.0.0.1/karbitexchanges/bitcointalk/tambah_marketplacealtcoin?halaman=",Sheet9!L28," --delete-after")</f>
        <v>wget --header='Accept-Language: en-us,en;q=0.5' -T 600 http://127.0.0.1/karbitexchanges/bitcointalk/tambah_marketplacealtcoin?halaman=5760 --delete-after</v>
      </c>
      <c r="E28" s="0" t="s">
        <v>270</v>
      </c>
      <c r="F28" s="0" t="s">
        <v>244</v>
      </c>
      <c r="L28" s="0" t="n">
        <f aca="false">Sheet9!L27-40</f>
        <v>5760</v>
      </c>
    </row>
    <row r="29" customFormat="false" ht="13.8" hidden="false" customHeight="false" outlineLevel="0" collapsed="false">
      <c r="A29" s="0" t="n">
        <f aca="false">Sheet9!A28-40</f>
        <v>7240</v>
      </c>
      <c r="C29" s="0" t="str">
        <f aca="false">CONCATENATE("wget --header='Accept-Language: en-us,en;q=0.5' -T 600 http://127.0.0.1/karbitexchanges/bitcointalk/tambah_announcementaltcoin?halaman=",Sheet9!A29," --delete-after")</f>
        <v>wget --header='Accept-Language: en-us,en;q=0.5' -T 600 http://127.0.0.1/karbitexchanges/bitcointalk/tambah_announcementaltcoin?halaman=7240 --delete-after</v>
      </c>
      <c r="D29" s="0" t="str">
        <f aca="false">CONCATENATE("wget --header='Accept-Language: en-us,en;q=0.5' -T 600 http://127.0.0.1/karbitexchanges/bitcointalk/tambah_marketplacealtcoin?halaman=",Sheet9!L29," --delete-after")</f>
        <v>wget --header='Accept-Language: en-us,en;q=0.5' -T 600 http://127.0.0.1/karbitexchanges/bitcointalk/tambah_marketplacealtcoin?halaman=5720 --delete-after</v>
      </c>
      <c r="E29" s="0" t="s">
        <v>271</v>
      </c>
      <c r="F29" s="0" t="s">
        <v>244</v>
      </c>
      <c r="L29" s="0" t="n">
        <f aca="false">Sheet9!L28-40</f>
        <v>5720</v>
      </c>
    </row>
    <row r="30" customFormat="false" ht="13.8" hidden="false" customHeight="false" outlineLevel="0" collapsed="false">
      <c r="A30" s="0" t="n">
        <f aca="false">Sheet9!A29-40</f>
        <v>7200</v>
      </c>
      <c r="C30" s="0" t="str">
        <f aca="false">CONCATENATE("wget --header='Accept-Language: en-us,en;q=0.5' -T 600 http://127.0.0.1/karbitexchanges/bitcointalk/tambah_announcementaltcoin?halaman=",Sheet9!A30," --delete-after")</f>
        <v>wget --header='Accept-Language: en-us,en;q=0.5' -T 600 http://127.0.0.1/karbitexchanges/bitcointalk/tambah_announcementaltcoin?halaman=7200 --delete-after</v>
      </c>
      <c r="D30" s="0" t="str">
        <f aca="false">CONCATENATE("wget --header='Accept-Language: en-us,en;q=0.5' -T 600 http://127.0.0.1/karbitexchanges/bitcointalk/tambah_marketplacealtcoin?halaman=",Sheet9!L30," --delete-after")</f>
        <v>wget --header='Accept-Language: en-us,en;q=0.5' -T 600 http://127.0.0.1/karbitexchanges/bitcointalk/tambah_marketplacealtcoin?halaman=5680 --delete-after</v>
      </c>
      <c r="E30" s="0" t="s">
        <v>272</v>
      </c>
      <c r="F30" s="0" t="s">
        <v>244</v>
      </c>
      <c r="L30" s="0" t="n">
        <f aca="false">Sheet9!L29-40</f>
        <v>5680</v>
      </c>
    </row>
    <row r="31" customFormat="false" ht="13.8" hidden="false" customHeight="false" outlineLevel="0" collapsed="false">
      <c r="A31" s="0" t="n">
        <f aca="false">Sheet9!A30-40</f>
        <v>7160</v>
      </c>
      <c r="C31" s="0" t="str">
        <f aca="false">CONCATENATE("wget --header='Accept-Language: en-us,en;q=0.5' -T 600 http://127.0.0.1/karbitexchanges/bitcointalk/tambah_announcementaltcoin?halaman=",Sheet9!A31," --delete-after")</f>
        <v>wget --header='Accept-Language: en-us,en;q=0.5' -T 600 http://127.0.0.1/karbitexchanges/bitcointalk/tambah_announcementaltcoin?halaman=7160 --delete-after</v>
      </c>
      <c r="D31" s="0" t="str">
        <f aca="false">CONCATENATE("wget --header='Accept-Language: en-us,en;q=0.5' -T 600 http://127.0.0.1/karbitexchanges/bitcointalk/tambah_marketplacealtcoin?halaman=",Sheet9!L31," --delete-after")</f>
        <v>wget --header='Accept-Language: en-us,en;q=0.5' -T 600 http://127.0.0.1/karbitexchanges/bitcointalk/tambah_marketplacealtcoin?halaman=5640 --delete-after</v>
      </c>
      <c r="E31" s="0" t="s">
        <v>273</v>
      </c>
      <c r="F31" s="0" t="s">
        <v>244</v>
      </c>
      <c r="L31" s="0" t="n">
        <f aca="false">Sheet9!L30-40</f>
        <v>5640</v>
      </c>
    </row>
    <row r="32" customFormat="false" ht="13.8" hidden="false" customHeight="false" outlineLevel="0" collapsed="false">
      <c r="A32" s="0" t="n">
        <f aca="false">Sheet9!A31-40</f>
        <v>7120</v>
      </c>
      <c r="C32" s="0" t="str">
        <f aca="false">CONCATENATE("wget --header='Accept-Language: en-us,en;q=0.5' -T 600 http://127.0.0.1/karbitexchanges/bitcointalk/tambah_announcementaltcoin?halaman=",Sheet9!A32," --delete-after")</f>
        <v>wget --header='Accept-Language: en-us,en;q=0.5' -T 600 http://127.0.0.1/karbitexchanges/bitcointalk/tambah_announcementaltcoin?halaman=7120 --delete-after</v>
      </c>
      <c r="D32" s="0" t="str">
        <f aca="false">CONCATENATE("wget --header='Accept-Language: en-us,en;q=0.5' -T 600 http://127.0.0.1/karbitexchanges/bitcointalk/tambah_marketplacealtcoin?halaman=",Sheet9!L32," --delete-after")</f>
        <v>wget --header='Accept-Language: en-us,en;q=0.5' -T 600 http://127.0.0.1/karbitexchanges/bitcointalk/tambah_marketplacealtcoin?halaman=5600 --delete-after</v>
      </c>
      <c r="E32" s="0" t="s">
        <v>274</v>
      </c>
      <c r="F32" s="0" t="s">
        <v>244</v>
      </c>
      <c r="L32" s="0" t="n">
        <f aca="false">Sheet9!L31-40</f>
        <v>5600</v>
      </c>
    </row>
    <row r="33" customFormat="false" ht="13.8" hidden="false" customHeight="false" outlineLevel="0" collapsed="false">
      <c r="A33" s="0" t="n">
        <f aca="false">Sheet9!A32-40</f>
        <v>7080</v>
      </c>
      <c r="C33" s="0" t="str">
        <f aca="false">CONCATENATE("wget --header='Accept-Language: en-us,en;q=0.5' -T 600 http://127.0.0.1/karbitexchanges/bitcointalk/tambah_announcementaltcoin?halaman=",Sheet9!A33," --delete-after")</f>
        <v>wget --header='Accept-Language: en-us,en;q=0.5' -T 600 http://127.0.0.1/karbitexchanges/bitcointalk/tambah_announcementaltcoin?halaman=7080 --delete-after</v>
      </c>
      <c r="D33" s="0" t="str">
        <f aca="false">CONCATENATE("wget --header='Accept-Language: en-us,en;q=0.5' -T 600 http://127.0.0.1/karbitexchanges/bitcointalk/tambah_marketplacealtcoin?halaman=",Sheet9!L33," --delete-after")</f>
        <v>wget --header='Accept-Language: en-us,en;q=0.5' -T 600 http://127.0.0.1/karbitexchanges/bitcointalk/tambah_marketplacealtcoin?halaman=5560 --delete-after</v>
      </c>
      <c r="E33" s="0" t="s">
        <v>275</v>
      </c>
      <c r="F33" s="0" t="s">
        <v>244</v>
      </c>
      <c r="L33" s="0" t="n">
        <f aca="false">Sheet9!L32-40</f>
        <v>5560</v>
      </c>
    </row>
    <row r="34" customFormat="false" ht="13.8" hidden="false" customHeight="false" outlineLevel="0" collapsed="false">
      <c r="A34" s="0" t="n">
        <f aca="false">Sheet9!A33-40</f>
        <v>7040</v>
      </c>
      <c r="C34" s="0" t="str">
        <f aca="false">CONCATENATE("wget --header='Accept-Language: en-us,en;q=0.5' -T 600 http://127.0.0.1/karbitexchanges/bitcointalk/tambah_announcementaltcoin?halaman=",Sheet9!A34," --delete-after")</f>
        <v>wget --header='Accept-Language: en-us,en;q=0.5' -T 600 http://127.0.0.1/karbitexchanges/bitcointalk/tambah_announcementaltcoin?halaman=7040 --delete-after</v>
      </c>
      <c r="D34" s="0" t="str">
        <f aca="false">CONCATENATE("wget --header='Accept-Language: en-us,en;q=0.5' -T 600 http://127.0.0.1/karbitexchanges/bitcointalk/tambah_marketplacealtcoin?halaman=",Sheet9!L34," --delete-after")</f>
        <v>wget --header='Accept-Language: en-us,en;q=0.5' -T 600 http://127.0.0.1/karbitexchanges/bitcointalk/tambah_marketplacealtcoin?halaman=5520 --delete-after</v>
      </c>
      <c r="E34" s="0" t="s">
        <v>276</v>
      </c>
      <c r="F34" s="0" t="s">
        <v>244</v>
      </c>
      <c r="L34" s="0" t="n">
        <f aca="false">Sheet9!L33-40</f>
        <v>5520</v>
      </c>
    </row>
    <row r="35" customFormat="false" ht="13.8" hidden="false" customHeight="false" outlineLevel="0" collapsed="false">
      <c r="A35" s="0" t="n">
        <f aca="false">Sheet9!A34-40</f>
        <v>7000</v>
      </c>
      <c r="C35" s="0" t="str">
        <f aca="false">CONCATENATE("wget --header='Accept-Language: en-us,en;q=0.5' -T 600 http://127.0.0.1/karbitexchanges/bitcointalk/tambah_announcementaltcoin?halaman=",Sheet9!A35," --delete-after")</f>
        <v>wget --header='Accept-Language: en-us,en;q=0.5' -T 600 http://127.0.0.1/karbitexchanges/bitcointalk/tambah_announcementaltcoin?halaman=7000 --delete-after</v>
      </c>
      <c r="D35" s="0" t="str">
        <f aca="false">CONCATENATE("wget --header='Accept-Language: en-us,en;q=0.5' -T 600 http://127.0.0.1/karbitexchanges/bitcointalk/tambah_marketplacealtcoin?halaman=",Sheet9!L35," --delete-after")</f>
        <v>wget --header='Accept-Language: en-us,en;q=0.5' -T 600 http://127.0.0.1/karbitexchanges/bitcointalk/tambah_marketplacealtcoin?halaman=5480 --delete-after</v>
      </c>
      <c r="E35" s="0" t="s">
        <v>277</v>
      </c>
      <c r="F35" s="0" t="s">
        <v>244</v>
      </c>
      <c r="L35" s="0" t="n">
        <f aca="false">Sheet9!L34-40</f>
        <v>5480</v>
      </c>
    </row>
    <row r="36" customFormat="false" ht="13.8" hidden="false" customHeight="false" outlineLevel="0" collapsed="false">
      <c r="A36" s="0" t="n">
        <f aca="false">Sheet9!A35-40</f>
        <v>6960</v>
      </c>
      <c r="C36" s="0" t="str">
        <f aca="false">CONCATENATE("wget --header='Accept-Language: en-us,en;q=0.5' -T 600 http://127.0.0.1/karbitexchanges/bitcointalk/tambah_announcementaltcoin?halaman=",Sheet9!A36," --delete-after")</f>
        <v>wget --header='Accept-Language: en-us,en;q=0.5' -T 600 http://127.0.0.1/karbitexchanges/bitcointalk/tambah_announcementaltcoin?halaman=6960 --delete-after</v>
      </c>
      <c r="D36" s="0" t="str">
        <f aca="false">CONCATENATE("wget --header='Accept-Language: en-us,en;q=0.5' -T 600 http://127.0.0.1/karbitexchanges/bitcointalk/tambah_marketplacealtcoin?halaman=",Sheet9!L36," --delete-after")</f>
        <v>wget --header='Accept-Language: en-us,en;q=0.5' -T 600 http://127.0.0.1/karbitexchanges/bitcointalk/tambah_marketplacealtcoin?halaman=5440 --delete-after</v>
      </c>
      <c r="E36" s="0" t="s">
        <v>278</v>
      </c>
      <c r="F36" s="0" t="s">
        <v>244</v>
      </c>
      <c r="L36" s="0" t="n">
        <f aca="false">Sheet9!L35-40</f>
        <v>5440</v>
      </c>
    </row>
    <row r="37" customFormat="false" ht="13.8" hidden="false" customHeight="false" outlineLevel="0" collapsed="false">
      <c r="A37" s="0" t="n">
        <f aca="false">Sheet9!A36-40</f>
        <v>6920</v>
      </c>
      <c r="C37" s="0" t="str">
        <f aca="false">CONCATENATE("wget --header='Accept-Language: en-us,en;q=0.5' -T 600 http://127.0.0.1/karbitexchanges/bitcointalk/tambah_announcementaltcoin?halaman=",Sheet9!A37," --delete-after")</f>
        <v>wget --header='Accept-Language: en-us,en;q=0.5' -T 600 http://127.0.0.1/karbitexchanges/bitcointalk/tambah_announcementaltcoin?halaman=6920 --delete-after</v>
      </c>
      <c r="D37" s="0" t="str">
        <f aca="false">CONCATENATE("wget --header='Accept-Language: en-us,en;q=0.5' -T 600 http://127.0.0.1/karbitexchanges/bitcointalk/tambah_marketplacealtcoin?halaman=",Sheet9!L37," --delete-after")</f>
        <v>wget --header='Accept-Language: en-us,en;q=0.5' -T 600 http://127.0.0.1/karbitexchanges/bitcointalk/tambah_marketplacealtcoin?halaman=5400 --delete-after</v>
      </c>
      <c r="E37" s="0" t="s">
        <v>279</v>
      </c>
      <c r="F37" s="0" t="s">
        <v>244</v>
      </c>
      <c r="L37" s="0" t="n">
        <f aca="false">Sheet9!L36-40</f>
        <v>5400</v>
      </c>
    </row>
    <row r="38" customFormat="false" ht="13.8" hidden="false" customHeight="false" outlineLevel="0" collapsed="false">
      <c r="A38" s="0" t="n">
        <f aca="false">Sheet9!A37-40</f>
        <v>6880</v>
      </c>
      <c r="C38" s="0" t="str">
        <f aca="false">CONCATENATE("wget --header='Accept-Language: en-us,en;q=0.5' -T 600 http://127.0.0.1/karbitexchanges/bitcointalk/tambah_announcementaltcoin?halaman=",Sheet9!A38," --delete-after")</f>
        <v>wget --header='Accept-Language: en-us,en;q=0.5' -T 600 http://127.0.0.1/karbitexchanges/bitcointalk/tambah_announcementaltcoin?halaman=6880 --delete-after</v>
      </c>
      <c r="D38" s="0" t="str">
        <f aca="false">CONCATENATE("wget --header='Accept-Language: en-us,en;q=0.5' -T 600 http://127.0.0.1/karbitexchanges/bitcointalk/tambah_marketplacealtcoin?halaman=",Sheet9!L38," --delete-after")</f>
        <v>wget --header='Accept-Language: en-us,en;q=0.5' -T 600 http://127.0.0.1/karbitexchanges/bitcointalk/tambah_marketplacealtcoin?halaman=5360 --delete-after</v>
      </c>
      <c r="E38" s="0" t="s">
        <v>280</v>
      </c>
      <c r="F38" s="0" t="s">
        <v>244</v>
      </c>
      <c r="L38" s="0" t="n">
        <f aca="false">Sheet9!L37-40</f>
        <v>5360</v>
      </c>
    </row>
    <row r="39" customFormat="false" ht="13.8" hidden="false" customHeight="false" outlineLevel="0" collapsed="false">
      <c r="A39" s="0" t="n">
        <f aca="false">Sheet9!A38-40</f>
        <v>6840</v>
      </c>
      <c r="C39" s="0" t="str">
        <f aca="false">CONCATENATE("wget --header='Accept-Language: en-us,en;q=0.5' -T 600 http://127.0.0.1/karbitexchanges/bitcointalk/tambah_announcementaltcoin?halaman=",Sheet9!A39," --delete-after")</f>
        <v>wget --header='Accept-Language: en-us,en;q=0.5' -T 600 http://127.0.0.1/karbitexchanges/bitcointalk/tambah_announcementaltcoin?halaman=6840 --delete-after</v>
      </c>
      <c r="D39" s="0" t="str">
        <f aca="false">CONCATENATE("wget --header='Accept-Language: en-us,en;q=0.5' -T 600 http://127.0.0.1/karbitexchanges/bitcointalk/tambah_marketplacealtcoin?halaman=",Sheet9!L39," --delete-after")</f>
        <v>wget --header='Accept-Language: en-us,en;q=0.5' -T 600 http://127.0.0.1/karbitexchanges/bitcointalk/tambah_marketplacealtcoin?halaman=5320 --delete-after</v>
      </c>
      <c r="E39" s="0" t="s">
        <v>281</v>
      </c>
      <c r="F39" s="0" t="s">
        <v>244</v>
      </c>
      <c r="L39" s="0" t="n">
        <f aca="false">Sheet9!L38-40</f>
        <v>5320</v>
      </c>
    </row>
    <row r="40" customFormat="false" ht="13.8" hidden="false" customHeight="false" outlineLevel="0" collapsed="false">
      <c r="A40" s="0" t="n">
        <f aca="false">Sheet9!A39-40</f>
        <v>6800</v>
      </c>
      <c r="C40" s="0" t="str">
        <f aca="false">CONCATENATE("wget --header='Accept-Language: en-us,en;q=0.5' -T 600 http://127.0.0.1/karbitexchanges/bitcointalk/tambah_announcementaltcoin?halaman=",Sheet9!A40," --delete-after")</f>
        <v>wget --header='Accept-Language: en-us,en;q=0.5' -T 600 http://127.0.0.1/karbitexchanges/bitcointalk/tambah_announcementaltcoin?halaman=6800 --delete-after</v>
      </c>
      <c r="D40" s="0" t="str">
        <f aca="false">CONCATENATE("wget --header='Accept-Language: en-us,en;q=0.5' -T 600 http://127.0.0.1/karbitexchanges/bitcointalk/tambah_marketplacealtcoin?halaman=",Sheet9!L40," --delete-after")</f>
        <v>wget --header='Accept-Language: en-us,en;q=0.5' -T 600 http://127.0.0.1/karbitexchanges/bitcointalk/tambah_marketplacealtcoin?halaman=5280 --delete-after</v>
      </c>
      <c r="E40" s="0" t="s">
        <v>282</v>
      </c>
      <c r="F40" s="0" t="s">
        <v>244</v>
      </c>
      <c r="L40" s="0" t="n">
        <f aca="false">Sheet9!L39-40</f>
        <v>5280</v>
      </c>
    </row>
    <row r="41" customFormat="false" ht="13.8" hidden="false" customHeight="false" outlineLevel="0" collapsed="false">
      <c r="A41" s="0" t="n">
        <f aca="false">Sheet9!A40-40</f>
        <v>6760</v>
      </c>
      <c r="C41" s="0" t="str">
        <f aca="false">CONCATENATE("wget --header='Accept-Language: en-us,en;q=0.5' -T 600 http://127.0.0.1/karbitexchanges/bitcointalk/tambah_announcementaltcoin?halaman=",Sheet9!A41," --delete-after")</f>
        <v>wget --header='Accept-Language: en-us,en;q=0.5' -T 600 http://127.0.0.1/karbitexchanges/bitcointalk/tambah_announcementaltcoin?halaman=6760 --delete-after</v>
      </c>
      <c r="D41" s="0" t="str">
        <f aca="false">CONCATENATE("wget --header='Accept-Language: en-us,en;q=0.5' -T 600 http://127.0.0.1/karbitexchanges/bitcointalk/tambah_marketplacealtcoin?halaman=",Sheet9!L41," --delete-after")</f>
        <v>wget --header='Accept-Language: en-us,en;q=0.5' -T 600 http://127.0.0.1/karbitexchanges/bitcointalk/tambah_marketplacealtcoin?halaman=5240 --delete-after</v>
      </c>
      <c r="E41" s="0" t="s">
        <v>283</v>
      </c>
      <c r="F41" s="0" t="s">
        <v>244</v>
      </c>
      <c r="L41" s="0" t="n">
        <f aca="false">Sheet9!L40-40</f>
        <v>5240</v>
      </c>
    </row>
    <row r="42" customFormat="false" ht="13.8" hidden="false" customHeight="false" outlineLevel="0" collapsed="false">
      <c r="A42" s="0" t="n">
        <f aca="false">Sheet9!A41-40</f>
        <v>6720</v>
      </c>
      <c r="C42" s="0" t="str">
        <f aca="false">CONCATENATE("wget --header='Accept-Language: en-us,en;q=0.5' -T 600 http://127.0.0.1/karbitexchanges/bitcointalk/tambah_announcementaltcoin?halaman=",Sheet9!A42," --delete-after")</f>
        <v>wget --header='Accept-Language: en-us,en;q=0.5' -T 600 http://127.0.0.1/karbitexchanges/bitcointalk/tambah_announcementaltcoin?halaman=6720 --delete-after</v>
      </c>
      <c r="D42" s="0" t="str">
        <f aca="false">CONCATENATE("wget --header='Accept-Language: en-us,en;q=0.5' -T 600 http://127.0.0.1/karbitexchanges/bitcointalk/tambah_marketplacealtcoin?halaman=",Sheet9!L42," --delete-after")</f>
        <v>wget --header='Accept-Language: en-us,en;q=0.5' -T 600 http://127.0.0.1/karbitexchanges/bitcointalk/tambah_marketplacealtcoin?halaman=5200 --delete-after</v>
      </c>
      <c r="E42" s="0" t="s">
        <v>284</v>
      </c>
      <c r="F42" s="0" t="s">
        <v>244</v>
      </c>
      <c r="L42" s="0" t="n">
        <f aca="false">Sheet9!L41-40</f>
        <v>5200</v>
      </c>
    </row>
    <row r="43" customFormat="false" ht="13.8" hidden="false" customHeight="false" outlineLevel="0" collapsed="false">
      <c r="A43" s="0" t="n">
        <f aca="false">Sheet9!A42-40</f>
        <v>6680</v>
      </c>
      <c r="C43" s="0" t="str">
        <f aca="false">CONCATENATE("wget --header='Accept-Language: en-us,en;q=0.5' -T 600 http://127.0.0.1/karbitexchanges/bitcointalk/tambah_announcementaltcoin?halaman=",Sheet9!A43," --delete-after")</f>
        <v>wget --header='Accept-Language: en-us,en;q=0.5' -T 600 http://127.0.0.1/karbitexchanges/bitcointalk/tambah_announcementaltcoin?halaman=6680 --delete-after</v>
      </c>
      <c r="D43" s="0" t="str">
        <f aca="false">CONCATENATE("wget --header='Accept-Language: en-us,en;q=0.5' -T 600 http://127.0.0.1/karbitexchanges/bitcointalk/tambah_marketplacealtcoin?halaman=",Sheet9!L43," --delete-after")</f>
        <v>wget --header='Accept-Language: en-us,en;q=0.5' -T 600 http://127.0.0.1/karbitexchanges/bitcointalk/tambah_marketplacealtcoin?halaman=5160 --delete-after</v>
      </c>
      <c r="E43" s="0" t="s">
        <v>285</v>
      </c>
      <c r="F43" s="0" t="s">
        <v>244</v>
      </c>
      <c r="L43" s="0" t="n">
        <f aca="false">Sheet9!L42-40</f>
        <v>5160</v>
      </c>
    </row>
    <row r="44" customFormat="false" ht="13.8" hidden="false" customHeight="false" outlineLevel="0" collapsed="false">
      <c r="A44" s="0" t="n">
        <f aca="false">Sheet9!A43-40</f>
        <v>6640</v>
      </c>
      <c r="C44" s="0" t="str">
        <f aca="false">CONCATENATE("wget --header='Accept-Language: en-us,en;q=0.5' -T 600 http://127.0.0.1/karbitexchanges/bitcointalk/tambah_announcementaltcoin?halaman=",Sheet9!A44," --delete-after")</f>
        <v>wget --header='Accept-Language: en-us,en;q=0.5' -T 600 http://127.0.0.1/karbitexchanges/bitcointalk/tambah_announcementaltcoin?halaman=6640 --delete-after</v>
      </c>
      <c r="D44" s="0" t="str">
        <f aca="false">CONCATENATE("wget --header='Accept-Language: en-us,en;q=0.5' -T 600 http://127.0.0.1/karbitexchanges/bitcointalk/tambah_marketplacealtcoin?halaman=",Sheet9!L44," --delete-after")</f>
        <v>wget --header='Accept-Language: en-us,en;q=0.5' -T 600 http://127.0.0.1/karbitexchanges/bitcointalk/tambah_marketplacealtcoin?halaman=5120 --delete-after</v>
      </c>
      <c r="E44" s="0" t="s">
        <v>286</v>
      </c>
      <c r="F44" s="0" t="s">
        <v>244</v>
      </c>
      <c r="L44" s="0" t="n">
        <f aca="false">Sheet9!L43-40</f>
        <v>5120</v>
      </c>
    </row>
    <row r="45" customFormat="false" ht="13.8" hidden="false" customHeight="false" outlineLevel="0" collapsed="false">
      <c r="A45" s="0" t="n">
        <f aca="false">Sheet9!A44-40</f>
        <v>6600</v>
      </c>
      <c r="C45" s="0" t="str">
        <f aca="false">CONCATENATE("wget --header='Accept-Language: en-us,en;q=0.5' -T 600 http://127.0.0.1/karbitexchanges/bitcointalk/tambah_announcementaltcoin?halaman=",Sheet9!A45," --delete-after")</f>
        <v>wget --header='Accept-Language: en-us,en;q=0.5' -T 600 http://127.0.0.1/karbitexchanges/bitcointalk/tambah_announcementaltcoin?halaman=6600 --delete-after</v>
      </c>
      <c r="D45" s="0" t="str">
        <f aca="false">CONCATENATE("wget --header='Accept-Language: en-us,en;q=0.5' -T 600 http://127.0.0.1/karbitexchanges/bitcointalk/tambah_marketplacealtcoin?halaman=",Sheet9!L45," --delete-after")</f>
        <v>wget --header='Accept-Language: en-us,en;q=0.5' -T 600 http://127.0.0.1/karbitexchanges/bitcointalk/tambah_marketplacealtcoin?halaman=5080 --delete-after</v>
      </c>
      <c r="E45" s="0" t="s">
        <v>287</v>
      </c>
      <c r="F45" s="0" t="s">
        <v>244</v>
      </c>
      <c r="L45" s="0" t="n">
        <f aca="false">Sheet9!L44-40</f>
        <v>5080</v>
      </c>
    </row>
    <row r="46" customFormat="false" ht="13.8" hidden="false" customHeight="false" outlineLevel="0" collapsed="false">
      <c r="A46" s="0" t="n">
        <f aca="false">Sheet9!A45-40</f>
        <v>6560</v>
      </c>
      <c r="C46" s="0" t="str">
        <f aca="false">CONCATENATE("wget --header='Accept-Language: en-us,en;q=0.5' -T 600 http://127.0.0.1/karbitexchanges/bitcointalk/tambah_announcementaltcoin?halaman=",Sheet9!A46," --delete-after")</f>
        <v>wget --header='Accept-Language: en-us,en;q=0.5' -T 600 http://127.0.0.1/karbitexchanges/bitcointalk/tambah_announcementaltcoin?halaman=6560 --delete-after</v>
      </c>
      <c r="D46" s="0" t="str">
        <f aca="false">CONCATENATE("wget --header='Accept-Language: en-us,en;q=0.5' -T 600 http://127.0.0.1/karbitexchanges/bitcointalk/tambah_marketplacealtcoin?halaman=",Sheet9!L46," --delete-after")</f>
        <v>wget --header='Accept-Language: en-us,en;q=0.5' -T 600 http://127.0.0.1/karbitexchanges/bitcointalk/tambah_marketplacealtcoin?halaman=5040 --delete-after</v>
      </c>
      <c r="E46" s="0" t="s">
        <v>288</v>
      </c>
      <c r="F46" s="0" t="s">
        <v>244</v>
      </c>
      <c r="L46" s="0" t="n">
        <f aca="false">Sheet9!L45-40</f>
        <v>5040</v>
      </c>
    </row>
    <row r="47" customFormat="false" ht="13.8" hidden="false" customHeight="false" outlineLevel="0" collapsed="false">
      <c r="A47" s="0" t="n">
        <f aca="false">Sheet9!A46-40</f>
        <v>6520</v>
      </c>
      <c r="C47" s="0" t="str">
        <f aca="false">CONCATENATE("wget --header='Accept-Language: en-us,en;q=0.5' -T 600 http://127.0.0.1/karbitexchanges/bitcointalk/tambah_announcementaltcoin?halaman=",Sheet9!A47," --delete-after")</f>
        <v>wget --header='Accept-Language: en-us,en;q=0.5' -T 600 http://127.0.0.1/karbitexchanges/bitcointalk/tambah_announcementaltcoin?halaman=6520 --delete-after</v>
      </c>
      <c r="D47" s="0" t="str">
        <f aca="false">CONCATENATE("wget --header='Accept-Language: en-us,en;q=0.5' -T 600 http://127.0.0.1/karbitexchanges/bitcointalk/tambah_marketplacealtcoin?halaman=",Sheet9!L47," --delete-after")</f>
        <v>wget --header='Accept-Language: en-us,en;q=0.5' -T 600 http://127.0.0.1/karbitexchanges/bitcointalk/tambah_marketplacealtcoin?halaman=5000 --delete-after</v>
      </c>
      <c r="E47" s="0" t="s">
        <v>289</v>
      </c>
      <c r="F47" s="0" t="s">
        <v>244</v>
      </c>
      <c r="L47" s="0" t="n">
        <f aca="false">Sheet9!L46-40</f>
        <v>5000</v>
      </c>
    </row>
    <row r="48" customFormat="false" ht="13.8" hidden="false" customHeight="false" outlineLevel="0" collapsed="false">
      <c r="A48" s="0" t="n">
        <f aca="false">Sheet9!A47-40</f>
        <v>6480</v>
      </c>
      <c r="C48" s="0" t="str">
        <f aca="false">CONCATENATE("wget --header='Accept-Language: en-us,en;q=0.5' -T 600 http://127.0.0.1/karbitexchanges/bitcointalk/tambah_announcementaltcoin?halaman=",Sheet9!A48," --delete-after")</f>
        <v>wget --header='Accept-Language: en-us,en;q=0.5' -T 600 http://127.0.0.1/karbitexchanges/bitcointalk/tambah_announcementaltcoin?halaman=6480 --delete-after</v>
      </c>
      <c r="D48" s="0" t="str">
        <f aca="false">CONCATENATE("wget --header='Accept-Language: en-us,en;q=0.5' -T 600 http://127.0.0.1/karbitexchanges/bitcointalk/tambah_marketplacealtcoin?halaman=",Sheet9!L48," --delete-after")</f>
        <v>wget --header='Accept-Language: en-us,en;q=0.5' -T 600 http://127.0.0.1/karbitexchanges/bitcointalk/tambah_marketplacealtcoin?halaman=4960 --delete-after</v>
      </c>
      <c r="E48" s="0" t="s">
        <v>290</v>
      </c>
      <c r="F48" s="0" t="s">
        <v>244</v>
      </c>
      <c r="L48" s="0" t="n">
        <f aca="false">Sheet9!L47-40</f>
        <v>4960</v>
      </c>
    </row>
    <row r="49" customFormat="false" ht="13.8" hidden="false" customHeight="false" outlineLevel="0" collapsed="false">
      <c r="A49" s="0" t="n">
        <f aca="false">Sheet9!A48-40</f>
        <v>6440</v>
      </c>
      <c r="C49" s="0" t="str">
        <f aca="false">CONCATENATE("wget --header='Accept-Language: en-us,en;q=0.5' -T 600 http://127.0.0.1/karbitexchanges/bitcointalk/tambah_announcementaltcoin?halaman=",Sheet9!A49," --delete-after")</f>
        <v>wget --header='Accept-Language: en-us,en;q=0.5' -T 600 http://127.0.0.1/karbitexchanges/bitcointalk/tambah_announcementaltcoin?halaman=6440 --delete-after</v>
      </c>
      <c r="D49" s="0" t="str">
        <f aca="false">CONCATENATE("wget --header='Accept-Language: en-us,en;q=0.5' -T 600 http://127.0.0.1/karbitexchanges/bitcointalk/tambah_marketplacealtcoin?halaman=",Sheet9!L49," --delete-after")</f>
        <v>wget --header='Accept-Language: en-us,en;q=0.5' -T 600 http://127.0.0.1/karbitexchanges/bitcointalk/tambah_marketplacealtcoin?halaman=4920 --delete-after</v>
      </c>
      <c r="E49" s="0" t="s">
        <v>291</v>
      </c>
      <c r="F49" s="0" t="s">
        <v>244</v>
      </c>
      <c r="L49" s="0" t="n">
        <f aca="false">Sheet9!L48-40</f>
        <v>4920</v>
      </c>
    </row>
    <row r="50" customFormat="false" ht="13.8" hidden="false" customHeight="false" outlineLevel="0" collapsed="false">
      <c r="A50" s="0" t="n">
        <f aca="false">Sheet9!A49-40</f>
        <v>6400</v>
      </c>
      <c r="C50" s="0" t="str">
        <f aca="false">CONCATENATE("wget --header='Accept-Language: en-us,en;q=0.5' -T 600 http://127.0.0.1/karbitexchanges/bitcointalk/tambah_announcementaltcoin?halaman=",Sheet9!A50," --delete-after")</f>
        <v>wget --header='Accept-Language: en-us,en;q=0.5' -T 600 http://127.0.0.1/karbitexchanges/bitcointalk/tambah_announcementaltcoin?halaman=6400 --delete-after</v>
      </c>
      <c r="D50" s="0" t="str">
        <f aca="false">CONCATENATE("wget --header='Accept-Language: en-us,en;q=0.5' -T 600 http://127.0.0.1/karbitexchanges/bitcointalk/tambah_marketplacealtcoin?halaman=",Sheet9!L50," --delete-after")</f>
        <v>wget --header='Accept-Language: en-us,en;q=0.5' -T 600 http://127.0.0.1/karbitexchanges/bitcointalk/tambah_marketplacealtcoin?halaman=4880 --delete-after</v>
      </c>
      <c r="E50" s="0" t="s">
        <v>292</v>
      </c>
      <c r="F50" s="0" t="s">
        <v>244</v>
      </c>
      <c r="L50" s="0" t="n">
        <f aca="false">Sheet9!L49-40</f>
        <v>4880</v>
      </c>
    </row>
    <row r="51" customFormat="false" ht="13.8" hidden="false" customHeight="false" outlineLevel="0" collapsed="false">
      <c r="A51" s="0" t="n">
        <f aca="false">Sheet9!A50-40</f>
        <v>6360</v>
      </c>
      <c r="C51" s="0" t="str">
        <f aca="false">CONCATENATE("wget --header='Accept-Language: en-us,en;q=0.5' -T 600 http://127.0.0.1/karbitexchanges/bitcointalk/tambah_announcementaltcoin?halaman=",Sheet9!A51," --delete-after")</f>
        <v>wget --header='Accept-Language: en-us,en;q=0.5' -T 600 http://127.0.0.1/karbitexchanges/bitcointalk/tambah_announcementaltcoin?halaman=6360 --delete-after</v>
      </c>
      <c r="D51" s="0" t="str">
        <f aca="false">CONCATENATE("wget --header='Accept-Language: en-us,en;q=0.5' -T 600 http://127.0.0.1/karbitexchanges/bitcointalk/tambah_marketplacealtcoin?halaman=",Sheet9!L51," --delete-after")</f>
        <v>wget --header='Accept-Language: en-us,en;q=0.5' -T 600 http://127.0.0.1/karbitexchanges/bitcointalk/tambah_marketplacealtcoin?halaman=4840 --delete-after</v>
      </c>
      <c r="E51" s="0" t="s">
        <v>293</v>
      </c>
      <c r="F51" s="0" t="s">
        <v>244</v>
      </c>
      <c r="L51" s="0" t="n">
        <f aca="false">Sheet9!L50-40</f>
        <v>4840</v>
      </c>
    </row>
    <row r="52" customFormat="false" ht="13.8" hidden="false" customHeight="false" outlineLevel="0" collapsed="false">
      <c r="A52" s="0" t="n">
        <f aca="false">Sheet9!A51-40</f>
        <v>6320</v>
      </c>
      <c r="C52" s="0" t="str">
        <f aca="false">CONCATENATE("wget --header='Accept-Language: en-us,en;q=0.5' -T 600 http://127.0.0.1/karbitexchanges/bitcointalk/tambah_announcementaltcoin?halaman=",Sheet9!A52," --delete-after")</f>
        <v>wget --header='Accept-Language: en-us,en;q=0.5' -T 600 http://127.0.0.1/karbitexchanges/bitcointalk/tambah_announcementaltcoin?halaman=6320 --delete-after</v>
      </c>
      <c r="D52" s="0" t="str">
        <f aca="false">CONCATENATE("wget --header='Accept-Language: en-us,en;q=0.5' -T 600 http://127.0.0.1/karbitexchanges/bitcointalk/tambah_marketplacealtcoin?halaman=",Sheet9!L52," --delete-after")</f>
        <v>wget --header='Accept-Language: en-us,en;q=0.5' -T 600 http://127.0.0.1/karbitexchanges/bitcointalk/tambah_marketplacealtcoin?halaman=4800 --delete-after</v>
      </c>
      <c r="E52" s="0" t="s">
        <v>294</v>
      </c>
      <c r="F52" s="0" t="s">
        <v>244</v>
      </c>
      <c r="L52" s="0" t="n">
        <f aca="false">Sheet9!L51-40</f>
        <v>4800</v>
      </c>
    </row>
    <row r="53" customFormat="false" ht="13.8" hidden="false" customHeight="false" outlineLevel="0" collapsed="false">
      <c r="A53" s="0" t="n">
        <f aca="false">Sheet9!A52-40</f>
        <v>6280</v>
      </c>
      <c r="C53" s="0" t="str">
        <f aca="false">CONCATENATE("wget --header='Accept-Language: en-us,en;q=0.5' -T 600 http://127.0.0.1/karbitexchanges/bitcointalk/tambah_announcementaltcoin?halaman=",Sheet9!A53," --delete-after")</f>
        <v>wget --header='Accept-Language: en-us,en;q=0.5' -T 600 http://127.0.0.1/karbitexchanges/bitcointalk/tambah_announcementaltcoin?halaman=6280 --delete-after</v>
      </c>
      <c r="D53" s="0" t="str">
        <f aca="false">CONCATENATE("wget --header='Accept-Language: en-us,en;q=0.5' -T 600 http://127.0.0.1/karbitexchanges/bitcointalk/tambah_marketplacealtcoin?halaman=",Sheet9!L53," --delete-after")</f>
        <v>wget --header='Accept-Language: en-us,en;q=0.5' -T 600 http://127.0.0.1/karbitexchanges/bitcointalk/tambah_marketplacealtcoin?halaman=4760 --delete-after</v>
      </c>
      <c r="E53" s="0" t="s">
        <v>295</v>
      </c>
      <c r="F53" s="0" t="s">
        <v>244</v>
      </c>
      <c r="L53" s="0" t="n">
        <f aca="false">Sheet9!L52-40</f>
        <v>4760</v>
      </c>
    </row>
    <row r="54" customFormat="false" ht="13.8" hidden="false" customHeight="false" outlineLevel="0" collapsed="false">
      <c r="A54" s="0" t="n">
        <f aca="false">Sheet9!A53-40</f>
        <v>6240</v>
      </c>
      <c r="C54" s="0" t="str">
        <f aca="false">CONCATENATE("wget --header='Accept-Language: en-us,en;q=0.5' -T 600 http://127.0.0.1/karbitexchanges/bitcointalk/tambah_announcementaltcoin?halaman=",Sheet9!A54," --delete-after")</f>
        <v>wget --header='Accept-Language: en-us,en;q=0.5' -T 600 http://127.0.0.1/karbitexchanges/bitcointalk/tambah_announcementaltcoin?halaman=6240 --delete-after</v>
      </c>
      <c r="D54" s="0" t="str">
        <f aca="false">CONCATENATE("wget --header='Accept-Language: en-us,en;q=0.5' -T 600 http://127.0.0.1/karbitexchanges/bitcointalk/tambah_marketplacealtcoin?halaman=",Sheet9!L54," --delete-after")</f>
        <v>wget --header='Accept-Language: en-us,en;q=0.5' -T 600 http://127.0.0.1/karbitexchanges/bitcointalk/tambah_marketplacealtcoin?halaman=4720 --delete-after</v>
      </c>
      <c r="E54" s="0" t="s">
        <v>296</v>
      </c>
      <c r="F54" s="0" t="s">
        <v>244</v>
      </c>
      <c r="L54" s="0" t="n">
        <f aca="false">Sheet9!L53-40</f>
        <v>4720</v>
      </c>
    </row>
    <row r="55" customFormat="false" ht="13.8" hidden="false" customHeight="false" outlineLevel="0" collapsed="false">
      <c r="A55" s="0" t="n">
        <f aca="false">Sheet9!A54-40</f>
        <v>6200</v>
      </c>
      <c r="C55" s="0" t="str">
        <f aca="false">CONCATENATE("wget --header='Accept-Language: en-us,en;q=0.5' -T 600 http://127.0.0.1/karbitexchanges/bitcointalk/tambah_announcementaltcoin?halaman=",Sheet9!A55," --delete-after")</f>
        <v>wget --header='Accept-Language: en-us,en;q=0.5' -T 600 http://127.0.0.1/karbitexchanges/bitcointalk/tambah_announcementaltcoin?halaman=6200 --delete-after</v>
      </c>
      <c r="D55" s="0" t="str">
        <f aca="false">CONCATENATE("wget --header='Accept-Language: en-us,en;q=0.5' -T 600 http://127.0.0.1/karbitexchanges/bitcointalk/tambah_marketplacealtcoin?halaman=",Sheet9!L55," --delete-after")</f>
        <v>wget --header='Accept-Language: en-us,en;q=0.5' -T 600 http://127.0.0.1/karbitexchanges/bitcointalk/tambah_marketplacealtcoin?halaman=4680 --delete-after</v>
      </c>
      <c r="E55" s="0" t="s">
        <v>297</v>
      </c>
      <c r="F55" s="0" t="s">
        <v>244</v>
      </c>
      <c r="L55" s="0" t="n">
        <f aca="false">Sheet9!L54-40</f>
        <v>4680</v>
      </c>
    </row>
    <row r="56" customFormat="false" ht="13.8" hidden="false" customHeight="false" outlineLevel="0" collapsed="false">
      <c r="A56" s="0" t="n">
        <f aca="false">Sheet9!A55-40</f>
        <v>6160</v>
      </c>
      <c r="C56" s="0" t="str">
        <f aca="false">CONCATENATE("wget --header='Accept-Language: en-us,en;q=0.5' -T 600 http://127.0.0.1/karbitexchanges/bitcointalk/tambah_announcementaltcoin?halaman=",Sheet9!A56," --delete-after")</f>
        <v>wget --header='Accept-Language: en-us,en;q=0.5' -T 600 http://127.0.0.1/karbitexchanges/bitcointalk/tambah_announcementaltcoin?halaman=6160 --delete-after</v>
      </c>
      <c r="D56" s="0" t="str">
        <f aca="false">CONCATENATE("wget --header='Accept-Language: en-us,en;q=0.5' -T 600 http://127.0.0.1/karbitexchanges/bitcointalk/tambah_marketplacealtcoin?halaman=",Sheet9!L56," --delete-after")</f>
        <v>wget --header='Accept-Language: en-us,en;q=0.5' -T 600 http://127.0.0.1/karbitexchanges/bitcointalk/tambah_marketplacealtcoin?halaman=4640 --delete-after</v>
      </c>
      <c r="E56" s="0" t="s">
        <v>298</v>
      </c>
      <c r="F56" s="0" t="s">
        <v>244</v>
      </c>
      <c r="L56" s="0" t="n">
        <f aca="false">Sheet9!L55-40</f>
        <v>4640</v>
      </c>
    </row>
    <row r="57" customFormat="false" ht="13.8" hidden="false" customHeight="false" outlineLevel="0" collapsed="false">
      <c r="A57" s="0" t="n">
        <f aca="false">Sheet9!A56-40</f>
        <v>6120</v>
      </c>
      <c r="C57" s="0" t="str">
        <f aca="false">CONCATENATE("wget --header='Accept-Language: en-us,en;q=0.5' -T 600 http://127.0.0.1/karbitexchanges/bitcointalk/tambah_announcementaltcoin?halaman=",Sheet9!A57," --delete-after")</f>
        <v>wget --header='Accept-Language: en-us,en;q=0.5' -T 600 http://127.0.0.1/karbitexchanges/bitcointalk/tambah_announcementaltcoin?halaman=6120 --delete-after</v>
      </c>
      <c r="D57" s="0" t="str">
        <f aca="false">CONCATENATE("wget --header='Accept-Language: en-us,en;q=0.5' -T 600 http://127.0.0.1/karbitexchanges/bitcointalk/tambah_marketplacealtcoin?halaman=",Sheet9!L57," --delete-after")</f>
        <v>wget --header='Accept-Language: en-us,en;q=0.5' -T 600 http://127.0.0.1/karbitexchanges/bitcointalk/tambah_marketplacealtcoin?halaman=4600 --delete-after</v>
      </c>
      <c r="E57" s="0" t="s">
        <v>299</v>
      </c>
      <c r="F57" s="0" t="s">
        <v>244</v>
      </c>
      <c r="L57" s="0" t="n">
        <f aca="false">Sheet9!L56-40</f>
        <v>4600</v>
      </c>
    </row>
    <row r="58" customFormat="false" ht="13.8" hidden="false" customHeight="false" outlineLevel="0" collapsed="false">
      <c r="A58" s="0" t="n">
        <f aca="false">Sheet9!A57-40</f>
        <v>6080</v>
      </c>
      <c r="C58" s="0" t="str">
        <f aca="false">CONCATENATE("wget --header='Accept-Language: en-us,en;q=0.5' -T 600 http://127.0.0.1/karbitexchanges/bitcointalk/tambah_announcementaltcoin?halaman=",Sheet9!A58," --delete-after")</f>
        <v>wget --header='Accept-Language: en-us,en;q=0.5' -T 600 http://127.0.0.1/karbitexchanges/bitcointalk/tambah_announcementaltcoin?halaman=6080 --delete-after</v>
      </c>
      <c r="D58" s="0" t="str">
        <f aca="false">CONCATENATE("wget --header='Accept-Language: en-us,en;q=0.5' -T 600 http://127.0.0.1/karbitexchanges/bitcointalk/tambah_marketplacealtcoin?halaman=",Sheet9!L58," --delete-after")</f>
        <v>wget --header='Accept-Language: en-us,en;q=0.5' -T 600 http://127.0.0.1/karbitexchanges/bitcointalk/tambah_marketplacealtcoin?halaman=4560 --delete-after</v>
      </c>
      <c r="E58" s="0" t="s">
        <v>300</v>
      </c>
      <c r="F58" s="0" t="s">
        <v>244</v>
      </c>
      <c r="L58" s="0" t="n">
        <f aca="false">Sheet9!L57-40</f>
        <v>4560</v>
      </c>
    </row>
    <row r="59" customFormat="false" ht="13.8" hidden="false" customHeight="false" outlineLevel="0" collapsed="false">
      <c r="A59" s="0" t="n">
        <f aca="false">Sheet9!A58-40</f>
        <v>6040</v>
      </c>
      <c r="C59" s="0" t="str">
        <f aca="false">CONCATENATE("wget --header='Accept-Language: en-us,en;q=0.5' -T 600 http://127.0.0.1/karbitexchanges/bitcointalk/tambah_announcementaltcoin?halaman=",Sheet9!A59," --delete-after")</f>
        <v>wget --header='Accept-Language: en-us,en;q=0.5' -T 600 http://127.0.0.1/karbitexchanges/bitcointalk/tambah_announcementaltcoin?halaman=6040 --delete-after</v>
      </c>
      <c r="D59" s="0" t="str">
        <f aca="false">CONCATENATE("wget --header='Accept-Language: en-us,en;q=0.5' -T 600 http://127.0.0.1/karbitexchanges/bitcointalk/tambah_marketplacealtcoin?halaman=",Sheet9!L59," --delete-after")</f>
        <v>wget --header='Accept-Language: en-us,en;q=0.5' -T 600 http://127.0.0.1/karbitexchanges/bitcointalk/tambah_marketplacealtcoin?halaman=4520 --delete-after</v>
      </c>
      <c r="E59" s="0" t="s">
        <v>301</v>
      </c>
      <c r="F59" s="0" t="s">
        <v>244</v>
      </c>
      <c r="L59" s="0" t="n">
        <f aca="false">Sheet9!L58-40</f>
        <v>4520</v>
      </c>
    </row>
    <row r="60" customFormat="false" ht="13.8" hidden="false" customHeight="false" outlineLevel="0" collapsed="false">
      <c r="A60" s="0" t="n">
        <f aca="false">Sheet9!A59-40</f>
        <v>6000</v>
      </c>
      <c r="C60" s="0" t="str">
        <f aca="false">CONCATENATE("wget --header='Accept-Language: en-us,en;q=0.5' -T 600 http://127.0.0.1/karbitexchanges/bitcointalk/tambah_announcementaltcoin?halaman=",Sheet9!A60," --delete-after")</f>
        <v>wget --header='Accept-Language: en-us,en;q=0.5' -T 600 http://127.0.0.1/karbitexchanges/bitcointalk/tambah_announcementaltcoin?halaman=6000 --delete-after</v>
      </c>
      <c r="D60" s="0" t="str">
        <f aca="false">CONCATENATE("wget --header='Accept-Language: en-us,en;q=0.5' -T 600 http://127.0.0.1/karbitexchanges/bitcointalk/tambah_marketplacealtcoin?halaman=",Sheet9!L60," --delete-after")</f>
        <v>wget --header='Accept-Language: en-us,en;q=0.5' -T 600 http://127.0.0.1/karbitexchanges/bitcointalk/tambah_marketplacealtcoin?halaman=4480 --delete-after</v>
      </c>
      <c r="E60" s="0" t="s">
        <v>302</v>
      </c>
      <c r="F60" s="0" t="s">
        <v>244</v>
      </c>
      <c r="L60" s="0" t="n">
        <f aca="false">Sheet9!L59-40</f>
        <v>4480</v>
      </c>
    </row>
    <row r="61" customFormat="false" ht="13.8" hidden="false" customHeight="false" outlineLevel="0" collapsed="false">
      <c r="A61" s="0" t="n">
        <f aca="false">Sheet9!A60-40</f>
        <v>5960</v>
      </c>
      <c r="C61" s="0" t="str">
        <f aca="false">CONCATENATE("wget --header='Accept-Language: en-us,en;q=0.5' -T 600 http://127.0.0.1/karbitexchanges/bitcointalk/tambah_announcementaltcoin?halaman=",Sheet9!A61," --delete-after")</f>
        <v>wget --header='Accept-Language: en-us,en;q=0.5' -T 600 http://127.0.0.1/karbitexchanges/bitcointalk/tambah_announcementaltcoin?halaman=5960 --delete-after</v>
      </c>
      <c r="D61" s="0" t="str">
        <f aca="false">CONCATENATE("wget --header='Accept-Language: en-us,en;q=0.5' -T 600 http://127.0.0.1/karbitexchanges/bitcointalk/tambah_marketplacealtcoin?halaman=",Sheet9!L61," --delete-after")</f>
        <v>wget --header='Accept-Language: en-us,en;q=0.5' -T 600 http://127.0.0.1/karbitexchanges/bitcointalk/tambah_marketplacealtcoin?halaman=4440 --delete-after</v>
      </c>
      <c r="E61" s="0" t="s">
        <v>303</v>
      </c>
      <c r="F61" s="0" t="s">
        <v>244</v>
      </c>
      <c r="L61" s="0" t="n">
        <f aca="false">Sheet9!L60-40</f>
        <v>4440</v>
      </c>
    </row>
    <row r="62" customFormat="false" ht="13.8" hidden="false" customHeight="false" outlineLevel="0" collapsed="false">
      <c r="A62" s="0" t="n">
        <f aca="false">Sheet9!A61-40</f>
        <v>5920</v>
      </c>
      <c r="C62" s="0" t="str">
        <f aca="false">CONCATENATE("wget --header='Accept-Language: en-us,en;q=0.5' -T 600 http://127.0.0.1/karbitexchanges/bitcointalk/tambah_announcementaltcoin?halaman=",Sheet9!A62," --delete-after")</f>
        <v>wget --header='Accept-Language: en-us,en;q=0.5' -T 600 http://127.0.0.1/karbitexchanges/bitcointalk/tambah_announcementaltcoin?halaman=5920 --delete-after</v>
      </c>
      <c r="D62" s="0" t="str">
        <f aca="false">CONCATENATE("wget --header='Accept-Language: en-us,en;q=0.5' -T 600 http://127.0.0.1/karbitexchanges/bitcointalk/tambah_marketplacealtcoin?halaman=",Sheet9!L62," --delete-after")</f>
        <v>wget --header='Accept-Language: en-us,en;q=0.5' -T 600 http://127.0.0.1/karbitexchanges/bitcointalk/tambah_marketplacealtcoin?halaman=4400 --delete-after</v>
      </c>
      <c r="E62" s="0" t="s">
        <v>304</v>
      </c>
      <c r="F62" s="0" t="s">
        <v>244</v>
      </c>
      <c r="L62" s="0" t="n">
        <f aca="false">Sheet9!L61-40</f>
        <v>4400</v>
      </c>
    </row>
    <row r="63" customFormat="false" ht="13.8" hidden="false" customHeight="false" outlineLevel="0" collapsed="false">
      <c r="A63" s="0" t="n">
        <f aca="false">Sheet9!A62-40</f>
        <v>5880</v>
      </c>
      <c r="C63" s="0" t="str">
        <f aca="false">CONCATENATE("wget --header='Accept-Language: en-us,en;q=0.5' -T 600 http://127.0.0.1/karbitexchanges/bitcointalk/tambah_announcementaltcoin?halaman=",Sheet9!A63," --delete-after")</f>
        <v>wget --header='Accept-Language: en-us,en;q=0.5' -T 600 http://127.0.0.1/karbitexchanges/bitcointalk/tambah_announcementaltcoin?halaman=5880 --delete-after</v>
      </c>
      <c r="D63" s="0" t="str">
        <f aca="false">CONCATENATE("wget --header='Accept-Language: en-us,en;q=0.5' -T 600 http://127.0.0.1/karbitexchanges/bitcointalk/tambah_marketplacealtcoin?halaman=",Sheet9!L63," --delete-after")</f>
        <v>wget --header='Accept-Language: en-us,en;q=0.5' -T 600 http://127.0.0.1/karbitexchanges/bitcointalk/tambah_marketplacealtcoin?halaman=4360 --delete-after</v>
      </c>
      <c r="E63" s="0" t="s">
        <v>305</v>
      </c>
      <c r="F63" s="0" t="s">
        <v>244</v>
      </c>
      <c r="L63" s="0" t="n">
        <f aca="false">Sheet9!L62-40</f>
        <v>4360</v>
      </c>
    </row>
    <row r="64" customFormat="false" ht="13.8" hidden="false" customHeight="false" outlineLevel="0" collapsed="false">
      <c r="A64" s="0" t="n">
        <f aca="false">Sheet9!A63-40</f>
        <v>5840</v>
      </c>
      <c r="C64" s="0" t="str">
        <f aca="false">CONCATENATE("wget --header='Accept-Language: en-us,en;q=0.5' -T 600 http://127.0.0.1/karbitexchanges/bitcointalk/tambah_announcementaltcoin?halaman=",Sheet9!A64," --delete-after")</f>
        <v>wget --header='Accept-Language: en-us,en;q=0.5' -T 600 http://127.0.0.1/karbitexchanges/bitcointalk/tambah_announcementaltcoin?halaman=5840 --delete-after</v>
      </c>
      <c r="D64" s="0" t="str">
        <f aca="false">CONCATENATE("wget --header='Accept-Language: en-us,en;q=0.5' -T 600 http://127.0.0.1/karbitexchanges/bitcointalk/tambah_marketplacealtcoin?halaman=",Sheet9!L64," --delete-after")</f>
        <v>wget --header='Accept-Language: en-us,en;q=0.5' -T 600 http://127.0.0.1/karbitexchanges/bitcointalk/tambah_marketplacealtcoin?halaman=4320 --delete-after</v>
      </c>
      <c r="E64" s="0" t="s">
        <v>306</v>
      </c>
      <c r="F64" s="0" t="s">
        <v>244</v>
      </c>
      <c r="L64" s="0" t="n">
        <f aca="false">Sheet9!L63-40</f>
        <v>4320</v>
      </c>
    </row>
    <row r="65" customFormat="false" ht="13.8" hidden="false" customHeight="false" outlineLevel="0" collapsed="false">
      <c r="A65" s="0" t="n">
        <f aca="false">Sheet9!A64-40</f>
        <v>5800</v>
      </c>
      <c r="C65" s="0" t="str">
        <f aca="false">CONCATENATE("wget --header='Accept-Language: en-us,en;q=0.5' -T 600 http://127.0.0.1/karbitexchanges/bitcointalk/tambah_announcementaltcoin?halaman=",Sheet9!A65," --delete-after")</f>
        <v>wget --header='Accept-Language: en-us,en;q=0.5' -T 600 http://127.0.0.1/karbitexchanges/bitcointalk/tambah_announcementaltcoin?halaman=5800 --delete-after</v>
      </c>
      <c r="D65" s="0" t="str">
        <f aca="false">CONCATENATE("wget --header='Accept-Language: en-us,en;q=0.5' -T 600 http://127.0.0.1/karbitexchanges/bitcointalk/tambah_marketplacealtcoin?halaman=",Sheet9!L65," --delete-after")</f>
        <v>wget --header='Accept-Language: en-us,en;q=0.5' -T 600 http://127.0.0.1/karbitexchanges/bitcointalk/tambah_marketplacealtcoin?halaman=4280 --delete-after</v>
      </c>
      <c r="E65" s="0" t="s">
        <v>307</v>
      </c>
      <c r="F65" s="0" t="s">
        <v>244</v>
      </c>
      <c r="L65" s="0" t="n">
        <f aca="false">Sheet9!L64-40</f>
        <v>4280</v>
      </c>
    </row>
    <row r="66" customFormat="false" ht="13.8" hidden="false" customHeight="false" outlineLevel="0" collapsed="false">
      <c r="A66" s="0" t="n">
        <f aca="false">Sheet9!A65-40</f>
        <v>5760</v>
      </c>
      <c r="C66" s="0" t="str">
        <f aca="false">CONCATENATE("wget --header='Accept-Language: en-us,en;q=0.5' -T 600 http://127.0.0.1/karbitexchanges/bitcointalk/tambah_announcementaltcoin?halaman=",Sheet9!A66," --delete-after")</f>
        <v>wget --header='Accept-Language: en-us,en;q=0.5' -T 600 http://127.0.0.1/karbitexchanges/bitcointalk/tambah_announcementaltcoin?halaman=5760 --delete-after</v>
      </c>
      <c r="D66" s="0" t="str">
        <f aca="false">CONCATENATE("wget --header='Accept-Language: en-us,en;q=0.5' -T 600 http://127.0.0.1/karbitexchanges/bitcointalk/tambah_marketplacealtcoin?halaman=",Sheet9!L66," --delete-after")</f>
        <v>wget --header='Accept-Language: en-us,en;q=0.5' -T 600 http://127.0.0.1/karbitexchanges/bitcointalk/tambah_marketplacealtcoin?halaman=4240 --delete-after</v>
      </c>
      <c r="E66" s="0" t="s">
        <v>308</v>
      </c>
      <c r="F66" s="0" t="s">
        <v>244</v>
      </c>
      <c r="L66" s="0" t="n">
        <f aca="false">Sheet9!L65-40</f>
        <v>4240</v>
      </c>
    </row>
    <row r="67" customFormat="false" ht="13.8" hidden="false" customHeight="false" outlineLevel="0" collapsed="false">
      <c r="A67" s="0" t="n">
        <f aca="false">Sheet9!A66-40</f>
        <v>5720</v>
      </c>
      <c r="C67" s="0" t="str">
        <f aca="false">CONCATENATE("wget --header='Accept-Language: en-us,en;q=0.5' -T 600 http://127.0.0.1/karbitexchanges/bitcointalk/tambah_announcementaltcoin?halaman=",Sheet9!A67," --delete-after")</f>
        <v>wget --header='Accept-Language: en-us,en;q=0.5' -T 600 http://127.0.0.1/karbitexchanges/bitcointalk/tambah_announcementaltcoin?halaman=5720 --delete-after</v>
      </c>
      <c r="D67" s="0" t="str">
        <f aca="false">CONCATENATE("wget --header='Accept-Language: en-us,en;q=0.5' -T 600 http://127.0.0.1/karbitexchanges/bitcointalk/tambah_marketplacealtcoin?halaman=",Sheet9!L67," --delete-after")</f>
        <v>wget --header='Accept-Language: en-us,en;q=0.5' -T 600 http://127.0.0.1/karbitexchanges/bitcointalk/tambah_marketplacealtcoin?halaman=4200 --delete-after</v>
      </c>
      <c r="E67" s="0" t="s">
        <v>309</v>
      </c>
      <c r="F67" s="0" t="s">
        <v>244</v>
      </c>
      <c r="L67" s="0" t="n">
        <f aca="false">Sheet9!L66-40</f>
        <v>4200</v>
      </c>
    </row>
    <row r="68" customFormat="false" ht="13.8" hidden="false" customHeight="false" outlineLevel="0" collapsed="false">
      <c r="A68" s="0" t="n">
        <f aca="false">Sheet9!A67-40</f>
        <v>5680</v>
      </c>
      <c r="C68" s="0" t="str">
        <f aca="false">CONCATENATE("wget --header='Accept-Language: en-us,en;q=0.5' -T 600 http://127.0.0.1/karbitexchanges/bitcointalk/tambah_announcementaltcoin?halaman=",Sheet9!A68," --delete-after")</f>
        <v>wget --header='Accept-Language: en-us,en;q=0.5' -T 600 http://127.0.0.1/karbitexchanges/bitcointalk/tambah_announcementaltcoin?halaman=5680 --delete-after</v>
      </c>
      <c r="D68" s="0" t="str">
        <f aca="false">CONCATENATE("wget --header='Accept-Language: en-us,en;q=0.5' -T 600 http://127.0.0.1/karbitexchanges/bitcointalk/tambah_marketplacealtcoin?halaman=",Sheet9!L68," --delete-after")</f>
        <v>wget --header='Accept-Language: en-us,en;q=0.5' -T 600 http://127.0.0.1/karbitexchanges/bitcointalk/tambah_marketplacealtcoin?halaman=4160 --delete-after</v>
      </c>
      <c r="E68" s="0" t="s">
        <v>310</v>
      </c>
      <c r="F68" s="0" t="s">
        <v>244</v>
      </c>
      <c r="L68" s="0" t="n">
        <f aca="false">Sheet9!L67-40</f>
        <v>4160</v>
      </c>
    </row>
    <row r="69" customFormat="false" ht="13.8" hidden="false" customHeight="false" outlineLevel="0" collapsed="false">
      <c r="A69" s="0" t="n">
        <f aca="false">Sheet9!A68-40</f>
        <v>5640</v>
      </c>
      <c r="C69" s="0" t="str">
        <f aca="false">CONCATENATE("wget --header='Accept-Language: en-us,en;q=0.5' -T 600 http://127.0.0.1/karbitexchanges/bitcointalk/tambah_announcementaltcoin?halaman=",Sheet9!A69," --delete-after")</f>
        <v>wget --header='Accept-Language: en-us,en;q=0.5' -T 600 http://127.0.0.1/karbitexchanges/bitcointalk/tambah_announcementaltcoin?halaman=5640 --delete-after</v>
      </c>
      <c r="D69" s="0" t="str">
        <f aca="false">CONCATENATE("wget --header='Accept-Language: en-us,en;q=0.5' -T 600 http://127.0.0.1/karbitexchanges/bitcointalk/tambah_marketplacealtcoin?halaman=",Sheet9!L69," --delete-after")</f>
        <v>wget --header='Accept-Language: en-us,en;q=0.5' -T 600 http://127.0.0.1/karbitexchanges/bitcointalk/tambah_marketplacealtcoin?halaman=4120 --delete-after</v>
      </c>
      <c r="E69" s="0" t="s">
        <v>311</v>
      </c>
      <c r="F69" s="0" t="s">
        <v>244</v>
      </c>
      <c r="L69" s="0" t="n">
        <f aca="false">Sheet9!L68-40</f>
        <v>4120</v>
      </c>
    </row>
    <row r="70" customFormat="false" ht="13.8" hidden="false" customHeight="false" outlineLevel="0" collapsed="false">
      <c r="A70" s="0" t="n">
        <f aca="false">Sheet9!A69-40</f>
        <v>5600</v>
      </c>
      <c r="C70" s="0" t="str">
        <f aca="false">CONCATENATE("wget --header='Accept-Language: en-us,en;q=0.5' -T 600 http://127.0.0.1/karbitexchanges/bitcointalk/tambah_announcementaltcoin?halaman=",Sheet9!A70," --delete-after")</f>
        <v>wget --header='Accept-Language: en-us,en;q=0.5' -T 600 http://127.0.0.1/karbitexchanges/bitcointalk/tambah_announcementaltcoin?halaman=5600 --delete-after</v>
      </c>
      <c r="D70" s="0" t="str">
        <f aca="false">CONCATENATE("wget --header='Accept-Language: en-us,en;q=0.5' -T 600 http://127.0.0.1/karbitexchanges/bitcointalk/tambah_marketplacealtcoin?halaman=",Sheet9!L70," --delete-after")</f>
        <v>wget --header='Accept-Language: en-us,en;q=0.5' -T 600 http://127.0.0.1/karbitexchanges/bitcointalk/tambah_marketplacealtcoin?halaman=4080 --delete-after</v>
      </c>
      <c r="E70" s="0" t="s">
        <v>312</v>
      </c>
      <c r="F70" s="0" t="s">
        <v>244</v>
      </c>
      <c r="L70" s="0" t="n">
        <f aca="false">Sheet9!L69-40</f>
        <v>4080</v>
      </c>
    </row>
    <row r="71" customFormat="false" ht="13.8" hidden="false" customHeight="false" outlineLevel="0" collapsed="false">
      <c r="A71" s="0" t="n">
        <f aca="false">Sheet9!A70-40</f>
        <v>5560</v>
      </c>
      <c r="C71" s="0" t="str">
        <f aca="false">CONCATENATE("wget --header='Accept-Language: en-us,en;q=0.5' -T 600 http://127.0.0.1/karbitexchanges/bitcointalk/tambah_announcementaltcoin?halaman=",Sheet9!A71," --delete-after")</f>
        <v>wget --header='Accept-Language: en-us,en;q=0.5' -T 600 http://127.0.0.1/karbitexchanges/bitcointalk/tambah_announcementaltcoin?halaman=5560 --delete-after</v>
      </c>
      <c r="D71" s="0" t="str">
        <f aca="false">CONCATENATE("wget --header='Accept-Language: en-us,en;q=0.5' -T 600 http://127.0.0.1/karbitexchanges/bitcointalk/tambah_marketplacealtcoin?halaman=",Sheet9!L71," --delete-after")</f>
        <v>wget --header='Accept-Language: en-us,en;q=0.5' -T 600 http://127.0.0.1/karbitexchanges/bitcointalk/tambah_marketplacealtcoin?halaman=4040 --delete-after</v>
      </c>
      <c r="E71" s="0" t="s">
        <v>313</v>
      </c>
      <c r="F71" s="0" t="s">
        <v>244</v>
      </c>
      <c r="L71" s="0" t="n">
        <f aca="false">Sheet9!L70-40</f>
        <v>4040</v>
      </c>
    </row>
    <row r="72" customFormat="false" ht="13.8" hidden="false" customHeight="false" outlineLevel="0" collapsed="false">
      <c r="A72" s="0" t="n">
        <f aca="false">Sheet9!A71-40</f>
        <v>5520</v>
      </c>
      <c r="C72" s="0" t="str">
        <f aca="false">CONCATENATE("wget --header='Accept-Language: en-us,en;q=0.5' -T 600 http://127.0.0.1/karbitexchanges/bitcointalk/tambah_announcementaltcoin?halaman=",Sheet9!A72," --delete-after")</f>
        <v>wget --header='Accept-Language: en-us,en;q=0.5' -T 600 http://127.0.0.1/karbitexchanges/bitcointalk/tambah_announcementaltcoin?halaman=5520 --delete-after</v>
      </c>
      <c r="D72" s="0" t="str">
        <f aca="false">CONCATENATE("wget --header='Accept-Language: en-us,en;q=0.5' -T 600 http://127.0.0.1/karbitexchanges/bitcointalk/tambah_marketplacealtcoin?halaman=",Sheet9!L72," --delete-after")</f>
        <v>wget --header='Accept-Language: en-us,en;q=0.5' -T 600 http://127.0.0.1/karbitexchanges/bitcointalk/tambah_marketplacealtcoin?halaman=4000 --delete-after</v>
      </c>
      <c r="E72" s="0" t="s">
        <v>314</v>
      </c>
      <c r="F72" s="0" t="s">
        <v>244</v>
      </c>
      <c r="L72" s="0" t="n">
        <f aca="false">Sheet9!L71-40</f>
        <v>4000</v>
      </c>
    </row>
    <row r="73" customFormat="false" ht="13.8" hidden="false" customHeight="false" outlineLevel="0" collapsed="false">
      <c r="A73" s="0" t="n">
        <f aca="false">Sheet9!A72-40</f>
        <v>5480</v>
      </c>
      <c r="C73" s="0" t="str">
        <f aca="false">CONCATENATE("wget --header='Accept-Language: en-us,en;q=0.5' -T 600 http://127.0.0.1/karbitexchanges/bitcointalk/tambah_announcementaltcoin?halaman=",Sheet9!A73," --delete-after")</f>
        <v>wget --header='Accept-Language: en-us,en;q=0.5' -T 600 http://127.0.0.1/karbitexchanges/bitcointalk/tambah_announcementaltcoin?halaman=5480 --delete-after</v>
      </c>
      <c r="D73" s="0" t="str">
        <f aca="false">CONCATENATE("wget --header='Accept-Language: en-us,en;q=0.5' -T 600 http://127.0.0.1/karbitexchanges/bitcointalk/tambah_marketplacealtcoin?halaman=",Sheet9!L73," --delete-after")</f>
        <v>wget --header='Accept-Language: en-us,en;q=0.5' -T 600 http://127.0.0.1/karbitexchanges/bitcointalk/tambah_marketplacealtcoin?halaman=3960 --delete-after</v>
      </c>
      <c r="E73" s="0" t="s">
        <v>315</v>
      </c>
      <c r="F73" s="0" t="s">
        <v>244</v>
      </c>
      <c r="L73" s="0" t="n">
        <f aca="false">Sheet9!L72-40</f>
        <v>3960</v>
      </c>
    </row>
    <row r="74" customFormat="false" ht="13.8" hidden="false" customHeight="false" outlineLevel="0" collapsed="false">
      <c r="A74" s="0" t="n">
        <f aca="false">Sheet9!A73-40</f>
        <v>5440</v>
      </c>
      <c r="C74" s="0" t="str">
        <f aca="false">CONCATENATE("wget --header='Accept-Language: en-us,en;q=0.5' -T 600 http://127.0.0.1/karbitexchanges/bitcointalk/tambah_announcementaltcoin?halaman=",Sheet9!A74," --delete-after")</f>
        <v>wget --header='Accept-Language: en-us,en;q=0.5' -T 600 http://127.0.0.1/karbitexchanges/bitcointalk/tambah_announcementaltcoin?halaman=5440 --delete-after</v>
      </c>
      <c r="D74" s="0" t="str">
        <f aca="false">CONCATENATE("wget --header='Accept-Language: en-us,en;q=0.5' -T 600 http://127.0.0.1/karbitexchanges/bitcointalk/tambah_marketplacealtcoin?halaman=",Sheet9!L74," --delete-after")</f>
        <v>wget --header='Accept-Language: en-us,en;q=0.5' -T 600 http://127.0.0.1/karbitexchanges/bitcointalk/tambah_marketplacealtcoin?halaman=3920 --delete-after</v>
      </c>
      <c r="E74" s="0" t="s">
        <v>316</v>
      </c>
      <c r="F74" s="0" t="s">
        <v>244</v>
      </c>
      <c r="L74" s="0" t="n">
        <f aca="false">Sheet9!L73-40</f>
        <v>3920</v>
      </c>
    </row>
    <row r="75" customFormat="false" ht="13.8" hidden="false" customHeight="false" outlineLevel="0" collapsed="false">
      <c r="A75" s="0" t="n">
        <f aca="false">Sheet9!A74-40</f>
        <v>5400</v>
      </c>
      <c r="C75" s="0" t="str">
        <f aca="false">CONCATENATE("wget --header='Accept-Language: en-us,en;q=0.5' -T 600 http://127.0.0.1/karbitexchanges/bitcointalk/tambah_announcementaltcoin?halaman=",Sheet9!A75," --delete-after")</f>
        <v>wget --header='Accept-Language: en-us,en;q=0.5' -T 600 http://127.0.0.1/karbitexchanges/bitcointalk/tambah_announcementaltcoin?halaman=5400 --delete-after</v>
      </c>
      <c r="D75" s="0" t="str">
        <f aca="false">CONCATENATE("wget --header='Accept-Language: en-us,en;q=0.5' -T 600 http://127.0.0.1/karbitexchanges/bitcointalk/tambah_marketplacealtcoin?halaman=",Sheet9!L75," --delete-after")</f>
        <v>wget --header='Accept-Language: en-us,en;q=0.5' -T 600 http://127.0.0.1/karbitexchanges/bitcointalk/tambah_marketplacealtcoin?halaman=3880 --delete-after</v>
      </c>
      <c r="E75" s="0" t="s">
        <v>317</v>
      </c>
      <c r="F75" s="0" t="s">
        <v>244</v>
      </c>
      <c r="L75" s="0" t="n">
        <f aca="false">Sheet9!L74-40</f>
        <v>3880</v>
      </c>
    </row>
    <row r="76" customFormat="false" ht="13.8" hidden="false" customHeight="false" outlineLevel="0" collapsed="false">
      <c r="A76" s="0" t="n">
        <f aca="false">Sheet9!A75-40</f>
        <v>5360</v>
      </c>
      <c r="C76" s="0" t="str">
        <f aca="false">CONCATENATE("wget --header='Accept-Language: en-us,en;q=0.5' -T 600 http://127.0.0.1/karbitexchanges/bitcointalk/tambah_announcementaltcoin?halaman=",Sheet9!A76," --delete-after")</f>
        <v>wget --header='Accept-Language: en-us,en;q=0.5' -T 600 http://127.0.0.1/karbitexchanges/bitcointalk/tambah_announcementaltcoin?halaman=5360 --delete-after</v>
      </c>
      <c r="D76" s="0" t="str">
        <f aca="false">CONCATENATE("wget --header='Accept-Language: en-us,en;q=0.5' -T 600 http://127.0.0.1/karbitexchanges/bitcointalk/tambah_marketplacealtcoin?halaman=",Sheet9!L76," --delete-after")</f>
        <v>wget --header='Accept-Language: en-us,en;q=0.5' -T 600 http://127.0.0.1/karbitexchanges/bitcointalk/tambah_marketplacealtcoin?halaman=3840 --delete-after</v>
      </c>
      <c r="E76" s="0" t="s">
        <v>318</v>
      </c>
      <c r="F76" s="0" t="s">
        <v>244</v>
      </c>
      <c r="L76" s="0" t="n">
        <f aca="false">Sheet9!L75-40</f>
        <v>3840</v>
      </c>
    </row>
    <row r="77" customFormat="false" ht="13.8" hidden="false" customHeight="false" outlineLevel="0" collapsed="false">
      <c r="A77" s="0" t="n">
        <f aca="false">Sheet9!A76-40</f>
        <v>5320</v>
      </c>
      <c r="C77" s="0" t="str">
        <f aca="false">CONCATENATE("wget --header='Accept-Language: en-us,en;q=0.5' -T 600 http://127.0.0.1/karbitexchanges/bitcointalk/tambah_announcementaltcoin?halaman=",Sheet9!A77," --delete-after")</f>
        <v>wget --header='Accept-Language: en-us,en;q=0.5' -T 600 http://127.0.0.1/karbitexchanges/bitcointalk/tambah_announcementaltcoin?halaman=5320 --delete-after</v>
      </c>
      <c r="D77" s="0" t="str">
        <f aca="false">CONCATENATE("wget --header='Accept-Language: en-us,en;q=0.5' -T 600 http://127.0.0.1/karbitexchanges/bitcointalk/tambah_marketplacealtcoin?halaman=",Sheet9!L77," --delete-after")</f>
        <v>wget --header='Accept-Language: en-us,en;q=0.5' -T 600 http://127.0.0.1/karbitexchanges/bitcointalk/tambah_marketplacealtcoin?halaman=3800 --delete-after</v>
      </c>
      <c r="E77" s="0" t="s">
        <v>319</v>
      </c>
      <c r="F77" s="0" t="s">
        <v>244</v>
      </c>
      <c r="L77" s="0" t="n">
        <f aca="false">Sheet9!L76-40</f>
        <v>3800</v>
      </c>
    </row>
    <row r="78" customFormat="false" ht="13.8" hidden="false" customHeight="false" outlineLevel="0" collapsed="false">
      <c r="A78" s="0" t="n">
        <f aca="false">Sheet9!A77-40</f>
        <v>5280</v>
      </c>
      <c r="C78" s="0" t="str">
        <f aca="false">CONCATENATE("wget --header='Accept-Language: en-us,en;q=0.5' -T 600 http://127.0.0.1/karbitexchanges/bitcointalk/tambah_announcementaltcoin?halaman=",Sheet9!A78," --delete-after")</f>
        <v>wget --header='Accept-Language: en-us,en;q=0.5' -T 600 http://127.0.0.1/karbitexchanges/bitcointalk/tambah_announcementaltcoin?halaman=5280 --delete-after</v>
      </c>
      <c r="D78" s="0" t="str">
        <f aca="false">CONCATENATE("wget --header='Accept-Language: en-us,en;q=0.5' -T 600 http://127.0.0.1/karbitexchanges/bitcointalk/tambah_marketplacealtcoin?halaman=",Sheet9!L78," --delete-after")</f>
        <v>wget --header='Accept-Language: en-us,en;q=0.5' -T 600 http://127.0.0.1/karbitexchanges/bitcointalk/tambah_marketplacealtcoin?halaman=3760 --delete-after</v>
      </c>
      <c r="E78" s="0" t="s">
        <v>320</v>
      </c>
      <c r="F78" s="0" t="s">
        <v>244</v>
      </c>
      <c r="L78" s="0" t="n">
        <f aca="false">Sheet9!L77-40</f>
        <v>3760</v>
      </c>
    </row>
    <row r="79" customFormat="false" ht="13.8" hidden="false" customHeight="false" outlineLevel="0" collapsed="false">
      <c r="A79" s="0" t="n">
        <f aca="false">Sheet9!A78-40</f>
        <v>5240</v>
      </c>
      <c r="C79" s="0" t="str">
        <f aca="false">CONCATENATE("wget --header='Accept-Language: en-us,en;q=0.5' -T 600 http://127.0.0.1/karbitexchanges/bitcointalk/tambah_announcementaltcoin?halaman=",Sheet9!A79," --delete-after")</f>
        <v>wget --header='Accept-Language: en-us,en;q=0.5' -T 600 http://127.0.0.1/karbitexchanges/bitcointalk/tambah_announcementaltcoin?halaman=5240 --delete-after</v>
      </c>
      <c r="D79" s="0" t="str">
        <f aca="false">CONCATENATE("wget --header='Accept-Language: en-us,en;q=0.5' -T 600 http://127.0.0.1/karbitexchanges/bitcointalk/tambah_marketplacealtcoin?halaman=",Sheet9!L79," --delete-after")</f>
        <v>wget --header='Accept-Language: en-us,en;q=0.5' -T 600 http://127.0.0.1/karbitexchanges/bitcointalk/tambah_marketplacealtcoin?halaman=3720 --delete-after</v>
      </c>
      <c r="E79" s="0" t="s">
        <v>321</v>
      </c>
      <c r="F79" s="0" t="s">
        <v>244</v>
      </c>
      <c r="L79" s="0" t="n">
        <f aca="false">Sheet9!L78-40</f>
        <v>3720</v>
      </c>
    </row>
    <row r="80" customFormat="false" ht="13.8" hidden="false" customHeight="false" outlineLevel="0" collapsed="false">
      <c r="A80" s="0" t="n">
        <f aca="false">Sheet9!A79-40</f>
        <v>5200</v>
      </c>
      <c r="C80" s="0" t="str">
        <f aca="false">CONCATENATE("wget --header='Accept-Language: en-us,en;q=0.5' -T 600 http://127.0.0.1/karbitexchanges/bitcointalk/tambah_announcementaltcoin?halaman=",Sheet9!A80," --delete-after")</f>
        <v>wget --header='Accept-Language: en-us,en;q=0.5' -T 600 http://127.0.0.1/karbitexchanges/bitcointalk/tambah_announcementaltcoin?halaman=5200 --delete-after</v>
      </c>
      <c r="D80" s="0" t="str">
        <f aca="false">CONCATENATE("wget --header='Accept-Language: en-us,en;q=0.5' -T 600 http://127.0.0.1/karbitexchanges/bitcointalk/tambah_marketplacealtcoin?halaman=",Sheet9!L80," --delete-after")</f>
        <v>wget --header='Accept-Language: en-us,en;q=0.5' -T 600 http://127.0.0.1/karbitexchanges/bitcointalk/tambah_marketplacealtcoin?halaman=3680 --delete-after</v>
      </c>
      <c r="E80" s="0" t="s">
        <v>322</v>
      </c>
      <c r="F80" s="0" t="s">
        <v>244</v>
      </c>
      <c r="L80" s="0" t="n">
        <f aca="false">Sheet9!L79-40</f>
        <v>3680</v>
      </c>
    </row>
    <row r="81" customFormat="false" ht="13.8" hidden="false" customHeight="false" outlineLevel="0" collapsed="false">
      <c r="A81" s="0" t="n">
        <f aca="false">Sheet9!A80-40</f>
        <v>5160</v>
      </c>
      <c r="C81" s="0" t="str">
        <f aca="false">CONCATENATE("wget --header='Accept-Language: en-us,en;q=0.5' -T 600 http://127.0.0.1/karbitexchanges/bitcointalk/tambah_announcementaltcoin?halaman=",Sheet9!A81," --delete-after")</f>
        <v>wget --header='Accept-Language: en-us,en;q=0.5' -T 600 http://127.0.0.1/karbitexchanges/bitcointalk/tambah_announcementaltcoin?halaman=5160 --delete-after</v>
      </c>
      <c r="D81" s="0" t="str">
        <f aca="false">CONCATENATE("wget --header='Accept-Language: en-us,en;q=0.5' -T 600 http://127.0.0.1/karbitexchanges/bitcointalk/tambah_marketplacealtcoin?halaman=",Sheet9!L81," --delete-after")</f>
        <v>wget --header='Accept-Language: en-us,en;q=0.5' -T 600 http://127.0.0.1/karbitexchanges/bitcointalk/tambah_marketplacealtcoin?halaman=3640 --delete-after</v>
      </c>
      <c r="E81" s="0" t="s">
        <v>323</v>
      </c>
      <c r="F81" s="0" t="s">
        <v>244</v>
      </c>
      <c r="L81" s="0" t="n">
        <f aca="false">Sheet9!L80-40</f>
        <v>3640</v>
      </c>
    </row>
    <row r="82" customFormat="false" ht="13.8" hidden="false" customHeight="false" outlineLevel="0" collapsed="false">
      <c r="A82" s="0" t="n">
        <f aca="false">Sheet9!A81-40</f>
        <v>5120</v>
      </c>
      <c r="C82" s="0" t="str">
        <f aca="false">CONCATENATE("wget --header='Accept-Language: en-us,en;q=0.5' -T 600 http://127.0.0.1/karbitexchanges/bitcointalk/tambah_announcementaltcoin?halaman=",Sheet9!A82," --delete-after")</f>
        <v>wget --header='Accept-Language: en-us,en;q=0.5' -T 600 http://127.0.0.1/karbitexchanges/bitcointalk/tambah_announcementaltcoin?halaman=5120 --delete-after</v>
      </c>
      <c r="D82" s="0" t="str">
        <f aca="false">CONCATENATE("wget --header='Accept-Language: en-us,en;q=0.5' -T 600 http://127.0.0.1/karbitexchanges/bitcointalk/tambah_marketplacealtcoin?halaman=",Sheet9!L82," --delete-after")</f>
        <v>wget --header='Accept-Language: en-us,en;q=0.5' -T 600 http://127.0.0.1/karbitexchanges/bitcointalk/tambah_marketplacealtcoin?halaman=3600 --delete-after</v>
      </c>
      <c r="E82" s="0" t="s">
        <v>324</v>
      </c>
      <c r="F82" s="0" t="s">
        <v>244</v>
      </c>
      <c r="L82" s="0" t="n">
        <f aca="false">Sheet9!L81-40</f>
        <v>3600</v>
      </c>
    </row>
    <row r="83" customFormat="false" ht="13.8" hidden="false" customHeight="false" outlineLevel="0" collapsed="false">
      <c r="A83" s="0" t="n">
        <f aca="false">Sheet9!A82-40</f>
        <v>5080</v>
      </c>
      <c r="C83" s="0" t="str">
        <f aca="false">CONCATENATE("wget --header='Accept-Language: en-us,en;q=0.5' -T 600 http://127.0.0.1/karbitexchanges/bitcointalk/tambah_announcementaltcoin?halaman=",Sheet9!A83," --delete-after")</f>
        <v>wget --header='Accept-Language: en-us,en;q=0.5' -T 600 http://127.0.0.1/karbitexchanges/bitcointalk/tambah_announcementaltcoin?halaman=5080 --delete-after</v>
      </c>
      <c r="D83" s="0" t="str">
        <f aca="false">CONCATENATE("wget --header='Accept-Language: en-us,en;q=0.5' -T 600 http://127.0.0.1/karbitexchanges/bitcointalk/tambah_marketplacealtcoin?halaman=",Sheet9!L83," --delete-after")</f>
        <v>wget --header='Accept-Language: en-us,en;q=0.5' -T 600 http://127.0.0.1/karbitexchanges/bitcointalk/tambah_marketplacealtcoin?halaman=3560 --delete-after</v>
      </c>
      <c r="E83" s="0" t="s">
        <v>325</v>
      </c>
      <c r="F83" s="0" t="s">
        <v>244</v>
      </c>
      <c r="L83" s="0" t="n">
        <f aca="false">Sheet9!L82-40</f>
        <v>3560</v>
      </c>
    </row>
    <row r="84" customFormat="false" ht="13.8" hidden="false" customHeight="false" outlineLevel="0" collapsed="false">
      <c r="A84" s="0" t="n">
        <f aca="false">Sheet9!A83-40</f>
        <v>5040</v>
      </c>
      <c r="C84" s="0" t="str">
        <f aca="false">CONCATENATE("wget --header='Accept-Language: en-us,en;q=0.5' -T 600 http://127.0.0.1/karbitexchanges/bitcointalk/tambah_announcementaltcoin?halaman=",Sheet9!A84," --delete-after")</f>
        <v>wget --header='Accept-Language: en-us,en;q=0.5' -T 600 http://127.0.0.1/karbitexchanges/bitcointalk/tambah_announcementaltcoin?halaman=5040 --delete-after</v>
      </c>
      <c r="D84" s="0" t="str">
        <f aca="false">CONCATENATE("wget --header='Accept-Language: en-us,en;q=0.5' -T 600 http://127.0.0.1/karbitexchanges/bitcointalk/tambah_marketplacealtcoin?halaman=",Sheet9!L84," --delete-after")</f>
        <v>wget --header='Accept-Language: en-us,en;q=0.5' -T 600 http://127.0.0.1/karbitexchanges/bitcointalk/tambah_marketplacealtcoin?halaman=3520 --delete-after</v>
      </c>
      <c r="E84" s="0" t="s">
        <v>326</v>
      </c>
      <c r="F84" s="0" t="s">
        <v>244</v>
      </c>
      <c r="L84" s="0" t="n">
        <f aca="false">Sheet9!L83-40</f>
        <v>3520</v>
      </c>
    </row>
    <row r="85" customFormat="false" ht="13.8" hidden="false" customHeight="false" outlineLevel="0" collapsed="false">
      <c r="A85" s="0" t="n">
        <f aca="false">Sheet9!A84-40</f>
        <v>5000</v>
      </c>
      <c r="C85" s="0" t="str">
        <f aca="false">CONCATENATE("wget --header='Accept-Language: en-us,en;q=0.5' -T 600 http://127.0.0.1/karbitexchanges/bitcointalk/tambah_announcementaltcoin?halaman=",Sheet9!A85," --delete-after")</f>
        <v>wget --header='Accept-Language: en-us,en;q=0.5' -T 600 http://127.0.0.1/karbitexchanges/bitcointalk/tambah_announcementaltcoin?halaman=5000 --delete-after</v>
      </c>
      <c r="D85" s="0" t="str">
        <f aca="false">CONCATENATE("wget --header='Accept-Language: en-us,en;q=0.5' -T 600 http://127.0.0.1/karbitexchanges/bitcointalk/tambah_marketplacealtcoin?halaman=",Sheet9!L85," --delete-after")</f>
        <v>wget --header='Accept-Language: en-us,en;q=0.5' -T 600 http://127.0.0.1/karbitexchanges/bitcointalk/tambah_marketplacealtcoin?halaman=3480 --delete-after</v>
      </c>
      <c r="E85" s="0" t="s">
        <v>327</v>
      </c>
      <c r="F85" s="0" t="s">
        <v>244</v>
      </c>
      <c r="L85" s="0" t="n">
        <f aca="false">Sheet9!L84-40</f>
        <v>3480</v>
      </c>
    </row>
    <row r="86" customFormat="false" ht="13.8" hidden="false" customHeight="false" outlineLevel="0" collapsed="false">
      <c r="A86" s="0" t="n">
        <f aca="false">Sheet9!A85-40</f>
        <v>4960</v>
      </c>
      <c r="C86" s="0" t="str">
        <f aca="false">CONCATENATE("wget --header='Accept-Language: en-us,en;q=0.5' -T 600 http://127.0.0.1/karbitexchanges/bitcointalk/tambah_announcementaltcoin?halaman=",Sheet9!A86," --delete-after")</f>
        <v>wget --header='Accept-Language: en-us,en;q=0.5' -T 600 http://127.0.0.1/karbitexchanges/bitcointalk/tambah_announcementaltcoin?halaman=4960 --delete-after</v>
      </c>
      <c r="D86" s="0" t="str">
        <f aca="false">CONCATENATE("wget --header='Accept-Language: en-us,en;q=0.5' -T 600 http://127.0.0.1/karbitexchanges/bitcointalk/tambah_marketplacealtcoin?halaman=",Sheet9!L86," --delete-after")</f>
        <v>wget --header='Accept-Language: en-us,en;q=0.5' -T 600 http://127.0.0.1/karbitexchanges/bitcointalk/tambah_marketplacealtcoin?halaman=3440 --delete-after</v>
      </c>
      <c r="E86" s="0" t="s">
        <v>328</v>
      </c>
      <c r="F86" s="0" t="s">
        <v>244</v>
      </c>
      <c r="L86" s="0" t="n">
        <f aca="false">Sheet9!L85-40</f>
        <v>3440</v>
      </c>
    </row>
    <row r="87" customFormat="false" ht="13.8" hidden="false" customHeight="false" outlineLevel="0" collapsed="false">
      <c r="A87" s="0" t="n">
        <f aca="false">Sheet9!A86-40</f>
        <v>4920</v>
      </c>
      <c r="C87" s="0" t="str">
        <f aca="false">CONCATENATE("wget --header='Accept-Language: en-us,en;q=0.5' -T 600 http://127.0.0.1/karbitexchanges/bitcointalk/tambah_announcementaltcoin?halaman=",Sheet9!A87," --delete-after")</f>
        <v>wget --header='Accept-Language: en-us,en;q=0.5' -T 600 http://127.0.0.1/karbitexchanges/bitcointalk/tambah_announcementaltcoin?halaman=4920 --delete-after</v>
      </c>
      <c r="D87" s="0" t="str">
        <f aca="false">CONCATENATE("wget --header='Accept-Language: en-us,en;q=0.5' -T 600 http://127.0.0.1/karbitexchanges/bitcointalk/tambah_marketplacealtcoin?halaman=",Sheet9!L87," --delete-after")</f>
        <v>wget --header='Accept-Language: en-us,en;q=0.5' -T 600 http://127.0.0.1/karbitexchanges/bitcointalk/tambah_marketplacealtcoin?halaman=3400 --delete-after</v>
      </c>
      <c r="E87" s="0" t="s">
        <v>329</v>
      </c>
      <c r="F87" s="0" t="s">
        <v>244</v>
      </c>
      <c r="L87" s="0" t="n">
        <f aca="false">Sheet9!L86-40</f>
        <v>3400</v>
      </c>
    </row>
    <row r="88" customFormat="false" ht="13.8" hidden="false" customHeight="false" outlineLevel="0" collapsed="false">
      <c r="A88" s="0" t="n">
        <f aca="false">Sheet9!A87-40</f>
        <v>4880</v>
      </c>
      <c r="C88" s="0" t="str">
        <f aca="false">CONCATENATE("wget --header='Accept-Language: en-us,en;q=0.5' -T 600 http://127.0.0.1/karbitexchanges/bitcointalk/tambah_announcementaltcoin?halaman=",Sheet9!A88," --delete-after")</f>
        <v>wget --header='Accept-Language: en-us,en;q=0.5' -T 600 http://127.0.0.1/karbitexchanges/bitcointalk/tambah_announcementaltcoin?halaman=4880 --delete-after</v>
      </c>
      <c r="D88" s="0" t="str">
        <f aca="false">CONCATENATE("wget --header='Accept-Language: en-us,en;q=0.5' -T 600 http://127.0.0.1/karbitexchanges/bitcointalk/tambah_marketplacealtcoin?halaman=",Sheet9!L88," --delete-after")</f>
        <v>wget --header='Accept-Language: en-us,en;q=0.5' -T 600 http://127.0.0.1/karbitexchanges/bitcointalk/tambah_marketplacealtcoin?halaman=3360 --delete-after</v>
      </c>
      <c r="E88" s="0" t="s">
        <v>330</v>
      </c>
      <c r="F88" s="0" t="s">
        <v>244</v>
      </c>
      <c r="L88" s="0" t="n">
        <f aca="false">Sheet9!L87-40</f>
        <v>3360</v>
      </c>
    </row>
    <row r="89" customFormat="false" ht="13.8" hidden="false" customHeight="false" outlineLevel="0" collapsed="false">
      <c r="A89" s="0" t="n">
        <f aca="false">Sheet9!A88-40</f>
        <v>4840</v>
      </c>
      <c r="C89" s="0" t="str">
        <f aca="false">CONCATENATE("wget --header='Accept-Language: en-us,en;q=0.5' -T 600 http://127.0.0.1/karbitexchanges/bitcointalk/tambah_announcementaltcoin?halaman=",Sheet9!A89," --delete-after")</f>
        <v>wget --header='Accept-Language: en-us,en;q=0.5' -T 600 http://127.0.0.1/karbitexchanges/bitcointalk/tambah_announcementaltcoin?halaman=4840 --delete-after</v>
      </c>
      <c r="D89" s="0" t="str">
        <f aca="false">CONCATENATE("wget --header='Accept-Language: en-us,en;q=0.5' -T 600 http://127.0.0.1/karbitexchanges/bitcointalk/tambah_marketplacealtcoin?halaman=",Sheet9!L89," --delete-after")</f>
        <v>wget --header='Accept-Language: en-us,en;q=0.5' -T 600 http://127.0.0.1/karbitexchanges/bitcointalk/tambah_marketplacealtcoin?halaman=3320 --delete-after</v>
      </c>
      <c r="E89" s="0" t="s">
        <v>331</v>
      </c>
      <c r="F89" s="0" t="s">
        <v>244</v>
      </c>
      <c r="L89" s="0" t="n">
        <f aca="false">Sheet9!L88-40</f>
        <v>3320</v>
      </c>
    </row>
    <row r="90" customFormat="false" ht="13.8" hidden="false" customHeight="false" outlineLevel="0" collapsed="false">
      <c r="A90" s="0" t="n">
        <f aca="false">Sheet9!A89-40</f>
        <v>4800</v>
      </c>
      <c r="C90" s="0" t="str">
        <f aca="false">CONCATENATE("wget --header='Accept-Language: en-us,en;q=0.5' -T 600 http://127.0.0.1/karbitexchanges/bitcointalk/tambah_announcementaltcoin?halaman=",Sheet9!A90," --delete-after")</f>
        <v>wget --header='Accept-Language: en-us,en;q=0.5' -T 600 http://127.0.0.1/karbitexchanges/bitcointalk/tambah_announcementaltcoin?halaman=4800 --delete-after</v>
      </c>
      <c r="D90" s="0" t="str">
        <f aca="false">CONCATENATE("wget --header='Accept-Language: en-us,en;q=0.5' -T 600 http://127.0.0.1/karbitexchanges/bitcointalk/tambah_marketplacealtcoin?halaman=",Sheet9!L90," --delete-after")</f>
        <v>wget --header='Accept-Language: en-us,en;q=0.5' -T 600 http://127.0.0.1/karbitexchanges/bitcointalk/tambah_marketplacealtcoin?halaman=3280 --delete-after</v>
      </c>
      <c r="E90" s="0" t="s">
        <v>332</v>
      </c>
      <c r="F90" s="0" t="s">
        <v>244</v>
      </c>
      <c r="L90" s="0" t="n">
        <f aca="false">Sheet9!L89-40</f>
        <v>3280</v>
      </c>
    </row>
    <row r="91" customFormat="false" ht="13.8" hidden="false" customHeight="false" outlineLevel="0" collapsed="false">
      <c r="A91" s="0" t="n">
        <f aca="false">Sheet9!A90-40</f>
        <v>4760</v>
      </c>
      <c r="C91" s="0" t="str">
        <f aca="false">CONCATENATE("wget --header='Accept-Language: en-us,en;q=0.5' -T 600 http://127.0.0.1/karbitexchanges/bitcointalk/tambah_announcementaltcoin?halaman=",Sheet9!A91," --delete-after")</f>
        <v>wget --header='Accept-Language: en-us,en;q=0.5' -T 600 http://127.0.0.1/karbitexchanges/bitcointalk/tambah_announcementaltcoin?halaman=4760 --delete-after</v>
      </c>
      <c r="D91" s="0" t="str">
        <f aca="false">CONCATENATE("wget --header='Accept-Language: en-us,en;q=0.5' -T 600 http://127.0.0.1/karbitexchanges/bitcointalk/tambah_marketplacealtcoin?halaman=",Sheet9!L91," --delete-after")</f>
        <v>wget --header='Accept-Language: en-us,en;q=0.5' -T 600 http://127.0.0.1/karbitexchanges/bitcointalk/tambah_marketplacealtcoin?halaman=3240 --delete-after</v>
      </c>
      <c r="E91" s="0" t="s">
        <v>333</v>
      </c>
      <c r="F91" s="0" t="s">
        <v>244</v>
      </c>
      <c r="L91" s="0" t="n">
        <f aca="false">Sheet9!L90-40</f>
        <v>3240</v>
      </c>
    </row>
    <row r="92" customFormat="false" ht="13.8" hidden="false" customHeight="false" outlineLevel="0" collapsed="false">
      <c r="A92" s="0" t="n">
        <f aca="false">Sheet9!A91-40</f>
        <v>4720</v>
      </c>
      <c r="C92" s="0" t="str">
        <f aca="false">CONCATENATE("wget --header='Accept-Language: en-us,en;q=0.5' -T 600 http://127.0.0.1/karbitexchanges/bitcointalk/tambah_announcementaltcoin?halaman=",Sheet9!A92," --delete-after")</f>
        <v>wget --header='Accept-Language: en-us,en;q=0.5' -T 600 http://127.0.0.1/karbitexchanges/bitcointalk/tambah_announcementaltcoin?halaman=4720 --delete-after</v>
      </c>
      <c r="D92" s="0" t="str">
        <f aca="false">CONCATENATE("wget --header='Accept-Language: en-us,en;q=0.5' -T 600 http://127.0.0.1/karbitexchanges/bitcointalk/tambah_marketplacealtcoin?halaman=",Sheet9!L92," --delete-after")</f>
        <v>wget --header='Accept-Language: en-us,en;q=0.5' -T 600 http://127.0.0.1/karbitexchanges/bitcointalk/tambah_marketplacealtcoin?halaman=3200 --delete-after</v>
      </c>
      <c r="E92" s="0" t="s">
        <v>334</v>
      </c>
      <c r="F92" s="0" t="s">
        <v>244</v>
      </c>
      <c r="L92" s="0" t="n">
        <f aca="false">Sheet9!L91-40</f>
        <v>3200</v>
      </c>
    </row>
    <row r="93" customFormat="false" ht="13.8" hidden="false" customHeight="false" outlineLevel="0" collapsed="false">
      <c r="A93" s="0" t="n">
        <f aca="false">Sheet9!A92-40</f>
        <v>4680</v>
      </c>
      <c r="C93" s="0" t="str">
        <f aca="false">CONCATENATE("wget --header='Accept-Language: en-us,en;q=0.5' -T 600 http://127.0.0.1/karbitexchanges/bitcointalk/tambah_announcementaltcoin?halaman=",Sheet9!A93," --delete-after")</f>
        <v>wget --header='Accept-Language: en-us,en;q=0.5' -T 600 http://127.0.0.1/karbitexchanges/bitcointalk/tambah_announcementaltcoin?halaman=4680 --delete-after</v>
      </c>
      <c r="D93" s="0" t="str">
        <f aca="false">CONCATENATE("wget --header='Accept-Language: en-us,en;q=0.5' -T 600 http://127.0.0.1/karbitexchanges/bitcointalk/tambah_marketplacealtcoin?halaman=",Sheet9!L93," --delete-after")</f>
        <v>wget --header='Accept-Language: en-us,en;q=0.5' -T 600 http://127.0.0.1/karbitexchanges/bitcointalk/tambah_marketplacealtcoin?halaman=3160 --delete-after</v>
      </c>
      <c r="E93" s="0" t="s">
        <v>335</v>
      </c>
      <c r="F93" s="0" t="s">
        <v>244</v>
      </c>
      <c r="L93" s="0" t="n">
        <f aca="false">Sheet9!L92-40</f>
        <v>3160</v>
      </c>
    </row>
    <row r="94" customFormat="false" ht="13.8" hidden="false" customHeight="false" outlineLevel="0" collapsed="false">
      <c r="A94" s="0" t="n">
        <f aca="false">Sheet9!A93-40</f>
        <v>4640</v>
      </c>
      <c r="C94" s="0" t="str">
        <f aca="false">CONCATENATE("wget --header='Accept-Language: en-us,en;q=0.5' -T 600 http://127.0.0.1/karbitexchanges/bitcointalk/tambah_announcementaltcoin?halaman=",Sheet9!A94," --delete-after")</f>
        <v>wget --header='Accept-Language: en-us,en;q=0.5' -T 600 http://127.0.0.1/karbitexchanges/bitcointalk/tambah_announcementaltcoin?halaman=4640 --delete-after</v>
      </c>
      <c r="D94" s="0" t="str">
        <f aca="false">CONCATENATE("wget --header='Accept-Language: en-us,en;q=0.5' -T 600 http://127.0.0.1/karbitexchanges/bitcointalk/tambah_marketplacealtcoin?halaman=",Sheet9!L94," --delete-after")</f>
        <v>wget --header='Accept-Language: en-us,en;q=0.5' -T 600 http://127.0.0.1/karbitexchanges/bitcointalk/tambah_marketplacealtcoin?halaman=3120 --delete-after</v>
      </c>
      <c r="E94" s="0" t="s">
        <v>336</v>
      </c>
      <c r="F94" s="0" t="s">
        <v>244</v>
      </c>
      <c r="L94" s="0" t="n">
        <f aca="false">Sheet9!L93-40</f>
        <v>3120</v>
      </c>
    </row>
    <row r="95" customFormat="false" ht="13.8" hidden="false" customHeight="false" outlineLevel="0" collapsed="false">
      <c r="A95" s="0" t="n">
        <f aca="false">Sheet9!A94-40</f>
        <v>4600</v>
      </c>
      <c r="C95" s="0" t="str">
        <f aca="false">CONCATENATE("wget --header='Accept-Language: en-us,en;q=0.5' -T 600 http://127.0.0.1/karbitexchanges/bitcointalk/tambah_announcementaltcoin?halaman=",Sheet9!A95," --delete-after")</f>
        <v>wget --header='Accept-Language: en-us,en;q=0.5' -T 600 http://127.0.0.1/karbitexchanges/bitcointalk/tambah_announcementaltcoin?halaman=4600 --delete-after</v>
      </c>
      <c r="D95" s="0" t="str">
        <f aca="false">CONCATENATE("wget --header='Accept-Language: en-us,en;q=0.5' -T 600 http://127.0.0.1/karbitexchanges/bitcointalk/tambah_marketplacealtcoin?halaman=",Sheet9!L95," --delete-after")</f>
        <v>wget --header='Accept-Language: en-us,en;q=0.5' -T 600 http://127.0.0.1/karbitexchanges/bitcointalk/tambah_marketplacealtcoin?halaman=3080 --delete-after</v>
      </c>
      <c r="E95" s="0" t="s">
        <v>337</v>
      </c>
      <c r="F95" s="0" t="s">
        <v>244</v>
      </c>
      <c r="L95" s="0" t="n">
        <f aca="false">Sheet9!L94-40</f>
        <v>3080</v>
      </c>
    </row>
    <row r="96" customFormat="false" ht="13.8" hidden="false" customHeight="false" outlineLevel="0" collapsed="false">
      <c r="A96" s="0" t="n">
        <f aca="false">Sheet9!A95-40</f>
        <v>4560</v>
      </c>
      <c r="C96" s="0" t="str">
        <f aca="false">CONCATENATE("wget --header='Accept-Language: en-us,en;q=0.5' -T 600 http://127.0.0.1/karbitexchanges/bitcointalk/tambah_announcementaltcoin?halaman=",Sheet9!A96," --delete-after")</f>
        <v>wget --header='Accept-Language: en-us,en;q=0.5' -T 600 http://127.0.0.1/karbitexchanges/bitcointalk/tambah_announcementaltcoin?halaman=4560 --delete-after</v>
      </c>
      <c r="D96" s="0" t="str">
        <f aca="false">CONCATENATE("wget --header='Accept-Language: en-us,en;q=0.5' -T 600 http://127.0.0.1/karbitexchanges/bitcointalk/tambah_marketplacealtcoin?halaman=",Sheet9!L96," --delete-after")</f>
        <v>wget --header='Accept-Language: en-us,en;q=0.5' -T 600 http://127.0.0.1/karbitexchanges/bitcointalk/tambah_marketplacealtcoin?halaman=3040 --delete-after</v>
      </c>
      <c r="E96" s="0" t="s">
        <v>338</v>
      </c>
      <c r="F96" s="0" t="s">
        <v>244</v>
      </c>
      <c r="L96" s="0" t="n">
        <f aca="false">Sheet9!L95-40</f>
        <v>3040</v>
      </c>
    </row>
    <row r="97" customFormat="false" ht="13.8" hidden="false" customHeight="false" outlineLevel="0" collapsed="false">
      <c r="A97" s="0" t="n">
        <f aca="false">Sheet9!A96-40</f>
        <v>4520</v>
      </c>
      <c r="C97" s="0" t="str">
        <f aca="false">CONCATENATE("wget --header='Accept-Language: en-us,en;q=0.5' -T 600 http://127.0.0.1/karbitexchanges/bitcointalk/tambah_announcementaltcoin?halaman=",Sheet9!A97," --delete-after")</f>
        <v>wget --header='Accept-Language: en-us,en;q=0.5' -T 600 http://127.0.0.1/karbitexchanges/bitcointalk/tambah_announcementaltcoin?halaman=4520 --delete-after</v>
      </c>
      <c r="D97" s="0" t="str">
        <f aca="false">CONCATENATE("wget --header='Accept-Language: en-us,en;q=0.5' -T 600 http://127.0.0.1/karbitexchanges/bitcointalk/tambah_marketplacealtcoin?halaman=",Sheet9!L97," --delete-after")</f>
        <v>wget --header='Accept-Language: en-us,en;q=0.5' -T 600 http://127.0.0.1/karbitexchanges/bitcointalk/tambah_marketplacealtcoin?halaman=3000 --delete-after</v>
      </c>
      <c r="E97" s="0" t="s">
        <v>339</v>
      </c>
      <c r="F97" s="0" t="s">
        <v>244</v>
      </c>
      <c r="L97" s="0" t="n">
        <f aca="false">Sheet9!L96-40</f>
        <v>3000</v>
      </c>
    </row>
    <row r="98" customFormat="false" ht="13.8" hidden="false" customHeight="false" outlineLevel="0" collapsed="false">
      <c r="A98" s="0" t="n">
        <f aca="false">Sheet9!A97-40</f>
        <v>4480</v>
      </c>
      <c r="C98" s="0" t="str">
        <f aca="false">CONCATENATE("wget --header='Accept-Language: en-us,en;q=0.5' -T 600 http://127.0.0.1/karbitexchanges/bitcointalk/tambah_announcementaltcoin?halaman=",Sheet9!A98," --delete-after")</f>
        <v>wget --header='Accept-Language: en-us,en;q=0.5' -T 600 http://127.0.0.1/karbitexchanges/bitcointalk/tambah_announcementaltcoin?halaman=4480 --delete-after</v>
      </c>
      <c r="D98" s="0" t="str">
        <f aca="false">CONCATENATE("wget --header='Accept-Language: en-us,en;q=0.5' -T 600 http://127.0.0.1/karbitexchanges/bitcointalk/tambah_marketplacealtcoin?halaman=",Sheet9!L98," --delete-after")</f>
        <v>wget --header='Accept-Language: en-us,en;q=0.5' -T 600 http://127.0.0.1/karbitexchanges/bitcointalk/tambah_marketplacealtcoin?halaman=2960 --delete-after</v>
      </c>
      <c r="E98" s="0" t="s">
        <v>340</v>
      </c>
      <c r="F98" s="0" t="s">
        <v>244</v>
      </c>
      <c r="L98" s="0" t="n">
        <f aca="false">Sheet9!L97-40</f>
        <v>2960</v>
      </c>
    </row>
    <row r="99" customFormat="false" ht="13.8" hidden="false" customHeight="false" outlineLevel="0" collapsed="false">
      <c r="A99" s="0" t="n">
        <f aca="false">Sheet9!A98-40</f>
        <v>4440</v>
      </c>
      <c r="C99" s="0" t="str">
        <f aca="false">CONCATENATE("wget --header='Accept-Language: en-us,en;q=0.5' -T 600 http://127.0.0.1/karbitexchanges/bitcointalk/tambah_announcementaltcoin?halaman=",Sheet9!A99," --delete-after")</f>
        <v>wget --header='Accept-Language: en-us,en;q=0.5' -T 600 http://127.0.0.1/karbitexchanges/bitcointalk/tambah_announcementaltcoin?halaman=4440 --delete-after</v>
      </c>
      <c r="D99" s="0" t="str">
        <f aca="false">CONCATENATE("wget --header='Accept-Language: en-us,en;q=0.5' -T 600 http://127.0.0.1/karbitexchanges/bitcointalk/tambah_marketplacealtcoin?halaman=",Sheet9!L99," --delete-after")</f>
        <v>wget --header='Accept-Language: en-us,en;q=0.5' -T 600 http://127.0.0.1/karbitexchanges/bitcointalk/tambah_marketplacealtcoin?halaman=2920 --delete-after</v>
      </c>
      <c r="E99" s="0" t="s">
        <v>341</v>
      </c>
      <c r="F99" s="0" t="s">
        <v>244</v>
      </c>
      <c r="L99" s="0" t="n">
        <f aca="false">Sheet9!L98-40</f>
        <v>2920</v>
      </c>
    </row>
    <row r="100" customFormat="false" ht="13.8" hidden="false" customHeight="false" outlineLevel="0" collapsed="false">
      <c r="A100" s="0" t="n">
        <f aca="false">Sheet9!A99-40</f>
        <v>4400</v>
      </c>
      <c r="C100" s="0" t="str">
        <f aca="false">CONCATENATE("wget --header='Accept-Language: en-us,en;q=0.5' -T 600 http://127.0.0.1/karbitexchanges/bitcointalk/tambah_announcementaltcoin?halaman=",Sheet9!A100," --delete-after")</f>
        <v>wget --header='Accept-Language: en-us,en;q=0.5' -T 600 http://127.0.0.1/karbitexchanges/bitcointalk/tambah_announcementaltcoin?halaman=4400 --delete-after</v>
      </c>
      <c r="D100" s="0" t="str">
        <f aca="false">CONCATENATE("wget --header='Accept-Language: en-us,en;q=0.5' -T 600 http://127.0.0.1/karbitexchanges/bitcointalk/tambah_marketplacealtcoin?halaman=",Sheet9!L100," --delete-after")</f>
        <v>wget --header='Accept-Language: en-us,en;q=0.5' -T 600 http://127.0.0.1/karbitexchanges/bitcointalk/tambah_marketplacealtcoin?halaman=2880 --delete-after</v>
      </c>
      <c r="E100" s="0" t="s">
        <v>342</v>
      </c>
      <c r="F100" s="0" t="s">
        <v>244</v>
      </c>
      <c r="L100" s="0" t="n">
        <f aca="false">Sheet9!L99-40</f>
        <v>2880</v>
      </c>
    </row>
    <row r="101" customFormat="false" ht="13.8" hidden="false" customHeight="false" outlineLevel="0" collapsed="false">
      <c r="A101" s="0" t="n">
        <f aca="false">Sheet9!A100-40</f>
        <v>4360</v>
      </c>
      <c r="C101" s="0" t="str">
        <f aca="false">CONCATENATE("wget --header='Accept-Language: en-us,en;q=0.5' -T 600 http://127.0.0.1/karbitexchanges/bitcointalk/tambah_announcementaltcoin?halaman=",Sheet9!A101," --delete-after")</f>
        <v>wget --header='Accept-Language: en-us,en;q=0.5' -T 600 http://127.0.0.1/karbitexchanges/bitcointalk/tambah_announcementaltcoin?halaman=4360 --delete-after</v>
      </c>
      <c r="D101" s="0" t="str">
        <f aca="false">CONCATENATE("wget --header='Accept-Language: en-us,en;q=0.5' -T 600 http://127.0.0.1/karbitexchanges/bitcointalk/tambah_marketplacealtcoin?halaman=",Sheet9!L101," --delete-after")</f>
        <v>wget --header='Accept-Language: en-us,en;q=0.5' -T 600 http://127.0.0.1/karbitexchanges/bitcointalk/tambah_marketplacealtcoin?halaman=2840 --delete-after</v>
      </c>
      <c r="E101" s="0" t="s">
        <v>343</v>
      </c>
      <c r="F101" s="0" t="s">
        <v>244</v>
      </c>
      <c r="L101" s="0" t="n">
        <f aca="false">Sheet9!L100-40</f>
        <v>2840</v>
      </c>
    </row>
    <row r="102" customFormat="false" ht="13.8" hidden="false" customHeight="false" outlineLevel="0" collapsed="false">
      <c r="A102" s="0" t="n">
        <f aca="false">Sheet9!A101-40</f>
        <v>4320</v>
      </c>
      <c r="C102" s="0" t="str">
        <f aca="false">CONCATENATE("wget --header='Accept-Language: en-us,en;q=0.5' -T 600 http://127.0.0.1/karbitexchanges/bitcointalk/tambah_announcementaltcoin?halaman=",Sheet9!A102," --delete-after")</f>
        <v>wget --header='Accept-Language: en-us,en;q=0.5' -T 600 http://127.0.0.1/karbitexchanges/bitcointalk/tambah_announcementaltcoin?halaman=4320 --delete-after</v>
      </c>
      <c r="D102" s="0" t="str">
        <f aca="false">CONCATENATE("wget --header='Accept-Language: en-us,en;q=0.5' -T 600 http://127.0.0.1/karbitexchanges/bitcointalk/tambah_marketplacealtcoin?halaman=",Sheet9!L102," --delete-after")</f>
        <v>wget --header='Accept-Language: en-us,en;q=0.5' -T 600 http://127.0.0.1/karbitexchanges/bitcointalk/tambah_marketplacealtcoin?halaman=2800 --delete-after</v>
      </c>
      <c r="E102" s="0" t="s">
        <v>344</v>
      </c>
      <c r="F102" s="0" t="s">
        <v>244</v>
      </c>
      <c r="L102" s="0" t="n">
        <f aca="false">Sheet9!L101-40</f>
        <v>2800</v>
      </c>
    </row>
    <row r="103" customFormat="false" ht="13.8" hidden="false" customHeight="false" outlineLevel="0" collapsed="false">
      <c r="A103" s="0" t="n">
        <f aca="false">Sheet9!A102-40</f>
        <v>4280</v>
      </c>
      <c r="C103" s="0" t="str">
        <f aca="false">CONCATENATE("wget --header='Accept-Language: en-us,en;q=0.5' -T 600 http://127.0.0.1/karbitexchanges/bitcointalk/tambah_announcementaltcoin?halaman=",Sheet9!A103," --delete-after")</f>
        <v>wget --header='Accept-Language: en-us,en;q=0.5' -T 600 http://127.0.0.1/karbitexchanges/bitcointalk/tambah_announcementaltcoin?halaman=4280 --delete-after</v>
      </c>
      <c r="D103" s="0" t="str">
        <f aca="false">CONCATENATE("wget --header='Accept-Language: en-us,en;q=0.5' -T 600 http://127.0.0.1/karbitexchanges/bitcointalk/tambah_marketplacealtcoin?halaman=",Sheet9!L103," --delete-after")</f>
        <v>wget --header='Accept-Language: en-us,en;q=0.5' -T 600 http://127.0.0.1/karbitexchanges/bitcointalk/tambah_marketplacealtcoin?halaman=2760 --delete-after</v>
      </c>
      <c r="E103" s="0" t="s">
        <v>345</v>
      </c>
      <c r="F103" s="0" t="s">
        <v>244</v>
      </c>
      <c r="L103" s="0" t="n">
        <f aca="false">Sheet9!L102-40</f>
        <v>2760</v>
      </c>
    </row>
    <row r="104" customFormat="false" ht="13.8" hidden="false" customHeight="false" outlineLevel="0" collapsed="false">
      <c r="A104" s="0" t="n">
        <f aca="false">Sheet9!A103-40</f>
        <v>4240</v>
      </c>
      <c r="C104" s="0" t="str">
        <f aca="false">CONCATENATE("wget --header='Accept-Language: en-us,en;q=0.5' -T 600 http://127.0.0.1/karbitexchanges/bitcointalk/tambah_announcementaltcoin?halaman=",Sheet9!A104," --delete-after")</f>
        <v>wget --header='Accept-Language: en-us,en;q=0.5' -T 600 http://127.0.0.1/karbitexchanges/bitcointalk/tambah_announcementaltcoin?halaman=4240 --delete-after</v>
      </c>
      <c r="D104" s="0" t="str">
        <f aca="false">CONCATENATE("wget --header='Accept-Language: en-us,en;q=0.5' -T 600 http://127.0.0.1/karbitexchanges/bitcointalk/tambah_marketplacealtcoin?halaman=",Sheet9!L104," --delete-after")</f>
        <v>wget --header='Accept-Language: en-us,en;q=0.5' -T 600 http://127.0.0.1/karbitexchanges/bitcointalk/tambah_marketplacealtcoin?halaman=2720 --delete-after</v>
      </c>
      <c r="E104" s="0" t="s">
        <v>346</v>
      </c>
      <c r="F104" s="0" t="s">
        <v>244</v>
      </c>
      <c r="L104" s="0" t="n">
        <f aca="false">Sheet9!L103-40</f>
        <v>2720</v>
      </c>
    </row>
    <row r="105" customFormat="false" ht="13.8" hidden="false" customHeight="false" outlineLevel="0" collapsed="false">
      <c r="A105" s="0" t="n">
        <f aca="false">Sheet9!A104-40</f>
        <v>4200</v>
      </c>
      <c r="C105" s="0" t="str">
        <f aca="false">CONCATENATE("wget --header='Accept-Language: en-us,en;q=0.5' -T 600 http://127.0.0.1/karbitexchanges/bitcointalk/tambah_announcementaltcoin?halaman=",Sheet9!A105," --delete-after")</f>
        <v>wget --header='Accept-Language: en-us,en;q=0.5' -T 600 http://127.0.0.1/karbitexchanges/bitcointalk/tambah_announcementaltcoin?halaman=4200 --delete-after</v>
      </c>
      <c r="D105" s="0" t="str">
        <f aca="false">CONCATENATE("wget --header='Accept-Language: en-us,en;q=0.5' -T 600 http://127.0.0.1/karbitexchanges/bitcointalk/tambah_marketplacealtcoin?halaman=",Sheet9!L105," --delete-after")</f>
        <v>wget --header='Accept-Language: en-us,en;q=0.5' -T 600 http://127.0.0.1/karbitexchanges/bitcointalk/tambah_marketplacealtcoin?halaman=2680 --delete-after</v>
      </c>
      <c r="E105" s="0" t="s">
        <v>347</v>
      </c>
      <c r="F105" s="0" t="s">
        <v>244</v>
      </c>
      <c r="L105" s="0" t="n">
        <f aca="false">Sheet9!L104-40</f>
        <v>2680</v>
      </c>
    </row>
    <row r="106" customFormat="false" ht="13.8" hidden="false" customHeight="false" outlineLevel="0" collapsed="false">
      <c r="A106" s="0" t="n">
        <f aca="false">Sheet9!A105-40</f>
        <v>4160</v>
      </c>
      <c r="C106" s="0" t="str">
        <f aca="false">CONCATENATE("wget --header='Accept-Language: en-us,en;q=0.5' -T 600 http://127.0.0.1/karbitexchanges/bitcointalk/tambah_announcementaltcoin?halaman=",Sheet9!A106," --delete-after")</f>
        <v>wget --header='Accept-Language: en-us,en;q=0.5' -T 600 http://127.0.0.1/karbitexchanges/bitcointalk/tambah_announcementaltcoin?halaman=4160 --delete-after</v>
      </c>
      <c r="D106" s="0" t="str">
        <f aca="false">CONCATENATE("wget --header='Accept-Language: en-us,en;q=0.5' -T 600 http://127.0.0.1/karbitexchanges/bitcointalk/tambah_marketplacealtcoin?halaman=",Sheet9!L106," --delete-after")</f>
        <v>wget --header='Accept-Language: en-us,en;q=0.5' -T 600 http://127.0.0.1/karbitexchanges/bitcointalk/tambah_marketplacealtcoin?halaman=2640 --delete-after</v>
      </c>
      <c r="E106" s="0" t="s">
        <v>348</v>
      </c>
      <c r="F106" s="0" t="s">
        <v>244</v>
      </c>
      <c r="L106" s="0" t="n">
        <f aca="false">Sheet9!L105-40</f>
        <v>2640</v>
      </c>
    </row>
    <row r="107" customFormat="false" ht="13.8" hidden="false" customHeight="false" outlineLevel="0" collapsed="false">
      <c r="A107" s="0" t="n">
        <f aca="false">Sheet9!A106-40</f>
        <v>4120</v>
      </c>
      <c r="C107" s="0" t="str">
        <f aca="false">CONCATENATE("wget --header='Accept-Language: en-us,en;q=0.5' -T 600 http://127.0.0.1/karbitexchanges/bitcointalk/tambah_announcementaltcoin?halaman=",Sheet9!A107," --delete-after")</f>
        <v>wget --header='Accept-Language: en-us,en;q=0.5' -T 600 http://127.0.0.1/karbitexchanges/bitcointalk/tambah_announcementaltcoin?halaman=4120 --delete-after</v>
      </c>
      <c r="D107" s="0" t="str">
        <f aca="false">CONCATENATE("wget --header='Accept-Language: en-us,en;q=0.5' -T 600 http://127.0.0.1/karbitexchanges/bitcointalk/tambah_marketplacealtcoin?halaman=",Sheet9!L107," --delete-after")</f>
        <v>wget --header='Accept-Language: en-us,en;q=0.5' -T 600 http://127.0.0.1/karbitexchanges/bitcointalk/tambah_marketplacealtcoin?halaman=2600 --delete-after</v>
      </c>
      <c r="E107" s="0" t="s">
        <v>349</v>
      </c>
      <c r="F107" s="0" t="s">
        <v>244</v>
      </c>
      <c r="L107" s="0" t="n">
        <f aca="false">Sheet9!L106-40</f>
        <v>2600</v>
      </c>
    </row>
    <row r="108" customFormat="false" ht="13.8" hidden="false" customHeight="false" outlineLevel="0" collapsed="false">
      <c r="A108" s="0" t="n">
        <f aca="false">Sheet9!A107-40</f>
        <v>4080</v>
      </c>
      <c r="C108" s="0" t="str">
        <f aca="false">CONCATENATE("wget --header='Accept-Language: en-us,en;q=0.5' -T 600 http://127.0.0.1/karbitexchanges/bitcointalk/tambah_announcementaltcoin?halaman=",Sheet9!A108," --delete-after")</f>
        <v>wget --header='Accept-Language: en-us,en;q=0.5' -T 600 http://127.0.0.1/karbitexchanges/bitcointalk/tambah_announcementaltcoin?halaman=4080 --delete-after</v>
      </c>
      <c r="D108" s="0" t="str">
        <f aca="false">CONCATENATE("wget --header='Accept-Language: en-us,en;q=0.5' -T 600 http://127.0.0.1/karbitexchanges/bitcointalk/tambah_marketplacealtcoin?halaman=",Sheet9!L108," --delete-after")</f>
        <v>wget --header='Accept-Language: en-us,en;q=0.5' -T 600 http://127.0.0.1/karbitexchanges/bitcointalk/tambah_marketplacealtcoin?halaman=2560 --delete-after</v>
      </c>
      <c r="E108" s="0" t="s">
        <v>350</v>
      </c>
      <c r="F108" s="0" t="s">
        <v>244</v>
      </c>
      <c r="L108" s="0" t="n">
        <f aca="false">Sheet9!L107-40</f>
        <v>2560</v>
      </c>
    </row>
    <row r="109" customFormat="false" ht="13.8" hidden="false" customHeight="false" outlineLevel="0" collapsed="false">
      <c r="A109" s="0" t="n">
        <f aca="false">Sheet9!A108-40</f>
        <v>4040</v>
      </c>
      <c r="C109" s="0" t="str">
        <f aca="false">CONCATENATE("wget --header='Accept-Language: en-us,en;q=0.5' -T 600 http://127.0.0.1/karbitexchanges/bitcointalk/tambah_announcementaltcoin?halaman=",Sheet9!A109," --delete-after")</f>
        <v>wget --header='Accept-Language: en-us,en;q=0.5' -T 600 http://127.0.0.1/karbitexchanges/bitcointalk/tambah_announcementaltcoin?halaman=4040 --delete-after</v>
      </c>
      <c r="D109" s="0" t="str">
        <f aca="false">CONCATENATE("wget --header='Accept-Language: en-us,en;q=0.5' -T 600 http://127.0.0.1/karbitexchanges/bitcointalk/tambah_marketplacealtcoin?halaman=",Sheet9!L109," --delete-after")</f>
        <v>wget --header='Accept-Language: en-us,en;q=0.5' -T 600 http://127.0.0.1/karbitexchanges/bitcointalk/tambah_marketplacealtcoin?halaman=2520 --delete-after</v>
      </c>
      <c r="E109" s="0" t="s">
        <v>351</v>
      </c>
      <c r="F109" s="0" t="s">
        <v>244</v>
      </c>
      <c r="L109" s="0" t="n">
        <f aca="false">Sheet9!L108-40</f>
        <v>2520</v>
      </c>
    </row>
    <row r="110" customFormat="false" ht="13.8" hidden="false" customHeight="false" outlineLevel="0" collapsed="false">
      <c r="A110" s="0" t="n">
        <f aca="false">Sheet9!A109-40</f>
        <v>4000</v>
      </c>
      <c r="C110" s="0" t="str">
        <f aca="false">CONCATENATE("wget --header='Accept-Language: en-us,en;q=0.5' -T 600 http://127.0.0.1/karbitexchanges/bitcointalk/tambah_announcementaltcoin?halaman=",Sheet9!A110," --delete-after")</f>
        <v>wget --header='Accept-Language: en-us,en;q=0.5' -T 600 http://127.0.0.1/karbitexchanges/bitcointalk/tambah_announcementaltcoin?halaman=4000 --delete-after</v>
      </c>
      <c r="D110" s="0" t="str">
        <f aca="false">CONCATENATE("wget --header='Accept-Language: en-us,en;q=0.5' -T 600 http://127.0.0.1/karbitexchanges/bitcointalk/tambah_marketplacealtcoin?halaman=",Sheet9!L110," --delete-after")</f>
        <v>wget --header='Accept-Language: en-us,en;q=0.5' -T 600 http://127.0.0.1/karbitexchanges/bitcointalk/tambah_marketplacealtcoin?halaman=2480 --delete-after</v>
      </c>
      <c r="E110" s="0" t="s">
        <v>352</v>
      </c>
      <c r="F110" s="0" t="s">
        <v>244</v>
      </c>
      <c r="L110" s="0" t="n">
        <f aca="false">Sheet9!L109-40</f>
        <v>2480</v>
      </c>
    </row>
    <row r="111" customFormat="false" ht="13.8" hidden="false" customHeight="false" outlineLevel="0" collapsed="false">
      <c r="A111" s="0" t="n">
        <f aca="false">Sheet9!A110-40</f>
        <v>3960</v>
      </c>
      <c r="C111" s="0" t="str">
        <f aca="false">CONCATENATE("wget --header='Accept-Language: en-us,en;q=0.5' -T 600 http://127.0.0.1/karbitexchanges/bitcointalk/tambah_announcementaltcoin?halaman=",Sheet9!A111," --delete-after")</f>
        <v>wget --header='Accept-Language: en-us,en;q=0.5' -T 600 http://127.0.0.1/karbitexchanges/bitcointalk/tambah_announcementaltcoin?halaman=3960 --delete-after</v>
      </c>
      <c r="D111" s="0" t="str">
        <f aca="false">CONCATENATE("wget --header='Accept-Language: en-us,en;q=0.5' -T 600 http://127.0.0.1/karbitexchanges/bitcointalk/tambah_marketplacealtcoin?halaman=",Sheet9!L111," --delete-after")</f>
        <v>wget --header='Accept-Language: en-us,en;q=0.5' -T 600 http://127.0.0.1/karbitexchanges/bitcointalk/tambah_marketplacealtcoin?halaman=2440 --delete-after</v>
      </c>
      <c r="E111" s="0" t="s">
        <v>353</v>
      </c>
      <c r="F111" s="0" t="s">
        <v>244</v>
      </c>
      <c r="L111" s="0" t="n">
        <f aca="false">Sheet9!L110-40</f>
        <v>2440</v>
      </c>
    </row>
    <row r="112" customFormat="false" ht="13.8" hidden="false" customHeight="false" outlineLevel="0" collapsed="false">
      <c r="A112" s="0" t="n">
        <f aca="false">Sheet9!A111-40</f>
        <v>3920</v>
      </c>
      <c r="C112" s="0" t="str">
        <f aca="false">CONCATENATE("wget --header='Accept-Language: en-us,en;q=0.5' -T 600 http://127.0.0.1/karbitexchanges/bitcointalk/tambah_announcementaltcoin?halaman=",Sheet9!A112," --delete-after")</f>
        <v>wget --header='Accept-Language: en-us,en;q=0.5' -T 600 http://127.0.0.1/karbitexchanges/bitcointalk/tambah_announcementaltcoin?halaman=3920 --delete-after</v>
      </c>
      <c r="D112" s="0" t="str">
        <f aca="false">CONCATENATE("wget --header='Accept-Language: en-us,en;q=0.5' -T 600 http://127.0.0.1/karbitexchanges/bitcointalk/tambah_marketplacealtcoin?halaman=",Sheet9!L112," --delete-after")</f>
        <v>wget --header='Accept-Language: en-us,en;q=0.5' -T 600 http://127.0.0.1/karbitexchanges/bitcointalk/tambah_marketplacealtcoin?halaman=2400 --delete-after</v>
      </c>
      <c r="E112" s="0" t="s">
        <v>354</v>
      </c>
      <c r="F112" s="0" t="s">
        <v>244</v>
      </c>
      <c r="L112" s="0" t="n">
        <f aca="false">Sheet9!L111-40</f>
        <v>2400</v>
      </c>
    </row>
    <row r="113" customFormat="false" ht="13.8" hidden="false" customHeight="false" outlineLevel="0" collapsed="false">
      <c r="A113" s="0" t="n">
        <f aca="false">Sheet9!A112-40</f>
        <v>3880</v>
      </c>
      <c r="C113" s="0" t="str">
        <f aca="false">CONCATENATE("wget --header='Accept-Language: en-us,en;q=0.5' -T 600 http://127.0.0.1/karbitexchanges/bitcointalk/tambah_announcementaltcoin?halaman=",Sheet9!A113," --delete-after")</f>
        <v>wget --header='Accept-Language: en-us,en;q=0.5' -T 600 http://127.0.0.1/karbitexchanges/bitcointalk/tambah_announcementaltcoin?halaman=3880 --delete-after</v>
      </c>
      <c r="D113" s="0" t="str">
        <f aca="false">CONCATENATE("wget --header='Accept-Language: en-us,en;q=0.5' -T 600 http://127.0.0.1/karbitexchanges/bitcointalk/tambah_marketplacealtcoin?halaman=",Sheet9!L113," --delete-after")</f>
        <v>wget --header='Accept-Language: en-us,en;q=0.5' -T 600 http://127.0.0.1/karbitexchanges/bitcointalk/tambah_marketplacealtcoin?halaman=2360 --delete-after</v>
      </c>
      <c r="E113" s="0" t="s">
        <v>355</v>
      </c>
      <c r="F113" s="0" t="s">
        <v>244</v>
      </c>
      <c r="L113" s="0" t="n">
        <f aca="false">Sheet9!L112-40</f>
        <v>2360</v>
      </c>
    </row>
    <row r="114" customFormat="false" ht="13.8" hidden="false" customHeight="false" outlineLevel="0" collapsed="false">
      <c r="A114" s="0" t="n">
        <f aca="false">Sheet9!A113-40</f>
        <v>3840</v>
      </c>
      <c r="C114" s="0" t="str">
        <f aca="false">CONCATENATE("wget --header='Accept-Language: en-us,en;q=0.5' -T 600 http://127.0.0.1/karbitexchanges/bitcointalk/tambah_announcementaltcoin?halaman=",Sheet9!A114," --delete-after")</f>
        <v>wget --header='Accept-Language: en-us,en;q=0.5' -T 600 http://127.0.0.1/karbitexchanges/bitcointalk/tambah_announcementaltcoin?halaman=3840 --delete-after</v>
      </c>
      <c r="D114" s="0" t="str">
        <f aca="false">CONCATENATE("wget --header='Accept-Language: en-us,en;q=0.5' -T 600 http://127.0.0.1/karbitexchanges/bitcointalk/tambah_marketplacealtcoin?halaman=",Sheet9!L114," --delete-after")</f>
        <v>wget --header='Accept-Language: en-us,en;q=0.5' -T 600 http://127.0.0.1/karbitexchanges/bitcointalk/tambah_marketplacealtcoin?halaman=2320 --delete-after</v>
      </c>
      <c r="E114" s="0" t="s">
        <v>356</v>
      </c>
      <c r="F114" s="0" t="s">
        <v>244</v>
      </c>
      <c r="L114" s="0" t="n">
        <f aca="false">Sheet9!L113-40</f>
        <v>2320</v>
      </c>
    </row>
    <row r="115" customFormat="false" ht="13.8" hidden="false" customHeight="false" outlineLevel="0" collapsed="false">
      <c r="A115" s="0" t="n">
        <f aca="false">Sheet9!A114-40</f>
        <v>3800</v>
      </c>
      <c r="C115" s="0" t="str">
        <f aca="false">CONCATENATE("wget --header='Accept-Language: en-us,en;q=0.5' -T 600 http://127.0.0.1/karbitexchanges/bitcointalk/tambah_announcementaltcoin?halaman=",Sheet9!A115," --delete-after")</f>
        <v>wget --header='Accept-Language: en-us,en;q=0.5' -T 600 http://127.0.0.1/karbitexchanges/bitcointalk/tambah_announcementaltcoin?halaman=3800 --delete-after</v>
      </c>
      <c r="D115" s="0" t="str">
        <f aca="false">CONCATENATE("wget --header='Accept-Language: en-us,en;q=0.5' -T 600 http://127.0.0.1/karbitexchanges/bitcointalk/tambah_marketplacealtcoin?halaman=",Sheet9!L115," --delete-after")</f>
        <v>wget --header='Accept-Language: en-us,en;q=0.5' -T 600 http://127.0.0.1/karbitexchanges/bitcointalk/tambah_marketplacealtcoin?halaman=2280 --delete-after</v>
      </c>
      <c r="E115" s="0" t="s">
        <v>357</v>
      </c>
      <c r="F115" s="0" t="s">
        <v>244</v>
      </c>
      <c r="L115" s="0" t="n">
        <f aca="false">Sheet9!L114-40</f>
        <v>2280</v>
      </c>
    </row>
    <row r="116" customFormat="false" ht="13.8" hidden="false" customHeight="false" outlineLevel="0" collapsed="false">
      <c r="A116" s="0" t="n">
        <f aca="false">Sheet9!A115-40</f>
        <v>3760</v>
      </c>
      <c r="C116" s="0" t="str">
        <f aca="false">CONCATENATE("wget --header='Accept-Language: en-us,en;q=0.5' -T 600 http://127.0.0.1/karbitexchanges/bitcointalk/tambah_announcementaltcoin?halaman=",Sheet9!A116," --delete-after")</f>
        <v>wget --header='Accept-Language: en-us,en;q=0.5' -T 600 http://127.0.0.1/karbitexchanges/bitcointalk/tambah_announcementaltcoin?halaman=3760 --delete-after</v>
      </c>
      <c r="D116" s="0" t="str">
        <f aca="false">CONCATENATE("wget --header='Accept-Language: en-us,en;q=0.5' -T 600 http://127.0.0.1/karbitexchanges/bitcointalk/tambah_marketplacealtcoin?halaman=",Sheet9!L116," --delete-after")</f>
        <v>wget --header='Accept-Language: en-us,en;q=0.5' -T 600 http://127.0.0.1/karbitexchanges/bitcointalk/tambah_marketplacealtcoin?halaman=2240 --delete-after</v>
      </c>
      <c r="E116" s="0" t="s">
        <v>358</v>
      </c>
      <c r="F116" s="0" t="s">
        <v>244</v>
      </c>
      <c r="L116" s="0" t="n">
        <f aca="false">Sheet9!L115-40</f>
        <v>2240</v>
      </c>
    </row>
    <row r="117" customFormat="false" ht="13.8" hidden="false" customHeight="false" outlineLevel="0" collapsed="false">
      <c r="A117" s="0" t="n">
        <f aca="false">Sheet9!A116-40</f>
        <v>3720</v>
      </c>
      <c r="C117" s="0" t="str">
        <f aca="false">CONCATENATE("wget --header='Accept-Language: en-us,en;q=0.5' -T 600 http://127.0.0.1/karbitexchanges/bitcointalk/tambah_announcementaltcoin?halaman=",Sheet9!A117," --delete-after")</f>
        <v>wget --header='Accept-Language: en-us,en;q=0.5' -T 600 http://127.0.0.1/karbitexchanges/bitcointalk/tambah_announcementaltcoin?halaman=3720 --delete-after</v>
      </c>
      <c r="D117" s="0" t="str">
        <f aca="false">CONCATENATE("wget --header='Accept-Language: en-us,en;q=0.5' -T 600 http://127.0.0.1/karbitexchanges/bitcointalk/tambah_marketplacealtcoin?halaman=",Sheet9!L117," --delete-after")</f>
        <v>wget --header='Accept-Language: en-us,en;q=0.5' -T 600 http://127.0.0.1/karbitexchanges/bitcointalk/tambah_marketplacealtcoin?halaman=2200 --delete-after</v>
      </c>
      <c r="E117" s="0" t="s">
        <v>359</v>
      </c>
      <c r="F117" s="0" t="s">
        <v>244</v>
      </c>
      <c r="L117" s="0" t="n">
        <f aca="false">Sheet9!L116-40</f>
        <v>2200</v>
      </c>
    </row>
    <row r="118" customFormat="false" ht="13.8" hidden="false" customHeight="false" outlineLevel="0" collapsed="false">
      <c r="A118" s="0" t="n">
        <f aca="false">Sheet9!A117-40</f>
        <v>3680</v>
      </c>
      <c r="C118" s="0" t="str">
        <f aca="false">CONCATENATE("wget --header='Accept-Language: en-us,en;q=0.5' -T 600 http://127.0.0.1/karbitexchanges/bitcointalk/tambah_announcementaltcoin?halaman=",Sheet9!A118," --delete-after")</f>
        <v>wget --header='Accept-Language: en-us,en;q=0.5' -T 600 http://127.0.0.1/karbitexchanges/bitcointalk/tambah_announcementaltcoin?halaman=3680 --delete-after</v>
      </c>
      <c r="D118" s="0" t="str">
        <f aca="false">CONCATENATE("wget --header='Accept-Language: en-us,en;q=0.5' -T 600 http://127.0.0.1/karbitexchanges/bitcointalk/tambah_marketplacealtcoin?halaman=",Sheet9!L118," --delete-after")</f>
        <v>wget --header='Accept-Language: en-us,en;q=0.5' -T 600 http://127.0.0.1/karbitexchanges/bitcointalk/tambah_marketplacealtcoin?halaman=2160 --delete-after</v>
      </c>
      <c r="E118" s="0" t="s">
        <v>360</v>
      </c>
      <c r="F118" s="0" t="s">
        <v>244</v>
      </c>
      <c r="L118" s="0" t="n">
        <f aca="false">Sheet9!L117-40</f>
        <v>2160</v>
      </c>
    </row>
    <row r="119" customFormat="false" ht="13.8" hidden="false" customHeight="false" outlineLevel="0" collapsed="false">
      <c r="A119" s="0" t="n">
        <f aca="false">Sheet9!A118-40</f>
        <v>3640</v>
      </c>
      <c r="C119" s="0" t="str">
        <f aca="false">CONCATENATE("wget --header='Accept-Language: en-us,en;q=0.5' -T 600 http://127.0.0.1/karbitexchanges/bitcointalk/tambah_announcementaltcoin?halaman=",Sheet9!A119," --delete-after")</f>
        <v>wget --header='Accept-Language: en-us,en;q=0.5' -T 600 http://127.0.0.1/karbitexchanges/bitcointalk/tambah_announcementaltcoin?halaman=3640 --delete-after</v>
      </c>
      <c r="D119" s="0" t="str">
        <f aca="false">CONCATENATE("wget --header='Accept-Language: en-us,en;q=0.5' -T 600 http://127.0.0.1/karbitexchanges/bitcointalk/tambah_marketplacealtcoin?halaman=",Sheet9!L119," --delete-after")</f>
        <v>wget --header='Accept-Language: en-us,en;q=0.5' -T 600 http://127.0.0.1/karbitexchanges/bitcointalk/tambah_marketplacealtcoin?halaman=2120 --delete-after</v>
      </c>
      <c r="E119" s="0" t="s">
        <v>361</v>
      </c>
      <c r="F119" s="0" t="s">
        <v>244</v>
      </c>
      <c r="L119" s="0" t="n">
        <f aca="false">Sheet9!L118-40</f>
        <v>2120</v>
      </c>
    </row>
    <row r="120" customFormat="false" ht="13.8" hidden="false" customHeight="false" outlineLevel="0" collapsed="false">
      <c r="A120" s="0" t="n">
        <f aca="false">Sheet9!A119-40</f>
        <v>3600</v>
      </c>
      <c r="C120" s="0" t="str">
        <f aca="false">CONCATENATE("wget --header='Accept-Language: en-us,en;q=0.5' -T 600 http://127.0.0.1/karbitexchanges/bitcointalk/tambah_announcementaltcoin?halaman=",Sheet9!A120," --delete-after")</f>
        <v>wget --header='Accept-Language: en-us,en;q=0.5' -T 600 http://127.0.0.1/karbitexchanges/bitcointalk/tambah_announcementaltcoin?halaman=3600 --delete-after</v>
      </c>
      <c r="D120" s="0" t="str">
        <f aca="false">CONCATENATE("wget --header='Accept-Language: en-us,en;q=0.5' -T 600 http://127.0.0.1/karbitexchanges/bitcointalk/tambah_marketplacealtcoin?halaman=",Sheet9!L120," --delete-after")</f>
        <v>wget --header='Accept-Language: en-us,en;q=0.5' -T 600 http://127.0.0.1/karbitexchanges/bitcointalk/tambah_marketplacealtcoin?halaman=2080 --delete-after</v>
      </c>
      <c r="E120" s="0" t="s">
        <v>362</v>
      </c>
      <c r="F120" s="0" t="s">
        <v>244</v>
      </c>
      <c r="L120" s="0" t="n">
        <f aca="false">Sheet9!L119-40</f>
        <v>2080</v>
      </c>
    </row>
    <row r="121" customFormat="false" ht="13.8" hidden="false" customHeight="false" outlineLevel="0" collapsed="false">
      <c r="A121" s="0" t="n">
        <f aca="false">Sheet9!A120-40</f>
        <v>3560</v>
      </c>
      <c r="C121" s="0" t="str">
        <f aca="false">CONCATENATE("wget --header='Accept-Language: en-us,en;q=0.5' -T 600 http://127.0.0.1/karbitexchanges/bitcointalk/tambah_announcementaltcoin?halaman=",Sheet9!A121," --delete-after")</f>
        <v>wget --header='Accept-Language: en-us,en;q=0.5' -T 600 http://127.0.0.1/karbitexchanges/bitcointalk/tambah_announcementaltcoin?halaman=3560 --delete-after</v>
      </c>
      <c r="D121" s="0" t="str">
        <f aca="false">CONCATENATE("wget --header='Accept-Language: en-us,en;q=0.5' -T 600 http://127.0.0.1/karbitexchanges/bitcointalk/tambah_marketplacealtcoin?halaman=",Sheet9!L121," --delete-after")</f>
        <v>wget --header='Accept-Language: en-us,en;q=0.5' -T 600 http://127.0.0.1/karbitexchanges/bitcointalk/tambah_marketplacealtcoin?halaman=2040 --delete-after</v>
      </c>
      <c r="E121" s="0" t="s">
        <v>363</v>
      </c>
      <c r="F121" s="0" t="s">
        <v>244</v>
      </c>
      <c r="L121" s="0" t="n">
        <f aca="false">Sheet9!L120-40</f>
        <v>2040</v>
      </c>
    </row>
    <row r="122" customFormat="false" ht="13.8" hidden="false" customHeight="false" outlineLevel="0" collapsed="false">
      <c r="A122" s="0" t="n">
        <f aca="false">Sheet9!A121-40</f>
        <v>3520</v>
      </c>
      <c r="C122" s="0" t="str">
        <f aca="false">CONCATENATE("wget --header='Accept-Language: en-us,en;q=0.5' -T 600 http://127.0.0.1/karbitexchanges/bitcointalk/tambah_announcementaltcoin?halaman=",Sheet9!A122," --delete-after")</f>
        <v>wget --header='Accept-Language: en-us,en;q=0.5' -T 600 http://127.0.0.1/karbitexchanges/bitcointalk/tambah_announcementaltcoin?halaman=3520 --delete-after</v>
      </c>
      <c r="D122" s="0" t="str">
        <f aca="false">CONCATENATE("wget --header='Accept-Language: en-us,en;q=0.5' -T 600 http://127.0.0.1/karbitexchanges/bitcointalk/tambah_marketplacealtcoin?halaman=",Sheet9!L122," --delete-after")</f>
        <v>wget --header='Accept-Language: en-us,en;q=0.5' -T 600 http://127.0.0.1/karbitexchanges/bitcointalk/tambah_marketplacealtcoin?halaman=2000 --delete-after</v>
      </c>
      <c r="E122" s="0" t="s">
        <v>364</v>
      </c>
      <c r="F122" s="0" t="s">
        <v>244</v>
      </c>
      <c r="L122" s="0" t="n">
        <f aca="false">Sheet9!L121-40</f>
        <v>2000</v>
      </c>
    </row>
    <row r="123" customFormat="false" ht="13.8" hidden="false" customHeight="false" outlineLevel="0" collapsed="false">
      <c r="A123" s="0" t="n">
        <f aca="false">Sheet9!A122-40</f>
        <v>3480</v>
      </c>
      <c r="C123" s="0" t="str">
        <f aca="false">CONCATENATE("wget --header='Accept-Language: en-us,en;q=0.5' -T 600 http://127.0.0.1/karbitexchanges/bitcointalk/tambah_announcementaltcoin?halaman=",Sheet9!A123," --delete-after")</f>
        <v>wget --header='Accept-Language: en-us,en;q=0.5' -T 600 http://127.0.0.1/karbitexchanges/bitcointalk/tambah_announcementaltcoin?halaman=3480 --delete-after</v>
      </c>
      <c r="D123" s="0" t="str">
        <f aca="false">CONCATENATE("wget --header='Accept-Language: en-us,en;q=0.5' -T 600 http://127.0.0.1/karbitexchanges/bitcointalk/tambah_marketplacealtcoin?halaman=",Sheet9!L123," --delete-after")</f>
        <v>wget --header='Accept-Language: en-us,en;q=0.5' -T 600 http://127.0.0.1/karbitexchanges/bitcointalk/tambah_marketplacealtcoin?halaman=1960 --delete-after</v>
      </c>
      <c r="E123" s="0" t="s">
        <v>365</v>
      </c>
      <c r="F123" s="0" t="s">
        <v>244</v>
      </c>
      <c r="L123" s="0" t="n">
        <f aca="false">Sheet9!L122-40</f>
        <v>1960</v>
      </c>
    </row>
    <row r="124" customFormat="false" ht="13.8" hidden="false" customHeight="false" outlineLevel="0" collapsed="false">
      <c r="A124" s="0" t="n">
        <f aca="false">Sheet9!A123-40</f>
        <v>3440</v>
      </c>
      <c r="C124" s="0" t="str">
        <f aca="false">CONCATENATE("wget --header='Accept-Language: en-us,en;q=0.5' -T 600 http://127.0.0.1/karbitexchanges/bitcointalk/tambah_announcementaltcoin?halaman=",Sheet9!A124," --delete-after")</f>
        <v>wget --header='Accept-Language: en-us,en;q=0.5' -T 600 http://127.0.0.1/karbitexchanges/bitcointalk/tambah_announcementaltcoin?halaman=3440 --delete-after</v>
      </c>
      <c r="D124" s="0" t="str">
        <f aca="false">CONCATENATE("wget --header='Accept-Language: en-us,en;q=0.5' -T 600 http://127.0.0.1/karbitexchanges/bitcointalk/tambah_marketplacealtcoin?halaman=",Sheet9!L124," --delete-after")</f>
        <v>wget --header='Accept-Language: en-us,en;q=0.5' -T 600 http://127.0.0.1/karbitexchanges/bitcointalk/tambah_marketplacealtcoin?halaman=1920 --delete-after</v>
      </c>
      <c r="E124" s="0" t="s">
        <v>366</v>
      </c>
      <c r="F124" s="0" t="s">
        <v>244</v>
      </c>
      <c r="L124" s="0" t="n">
        <f aca="false">Sheet9!L123-40</f>
        <v>1920</v>
      </c>
    </row>
    <row r="125" customFormat="false" ht="13.8" hidden="false" customHeight="false" outlineLevel="0" collapsed="false">
      <c r="A125" s="0" t="n">
        <f aca="false">Sheet9!A124-40</f>
        <v>3400</v>
      </c>
      <c r="C125" s="0" t="str">
        <f aca="false">CONCATENATE("wget --header='Accept-Language: en-us,en;q=0.5' -T 600 http://127.0.0.1/karbitexchanges/bitcointalk/tambah_announcementaltcoin?halaman=",Sheet9!A125," --delete-after")</f>
        <v>wget --header='Accept-Language: en-us,en;q=0.5' -T 600 http://127.0.0.1/karbitexchanges/bitcointalk/tambah_announcementaltcoin?halaman=3400 --delete-after</v>
      </c>
      <c r="D125" s="0" t="str">
        <f aca="false">CONCATENATE("wget --header='Accept-Language: en-us,en;q=0.5' -T 600 http://127.0.0.1/karbitexchanges/bitcointalk/tambah_marketplacealtcoin?halaman=",Sheet9!L125," --delete-after")</f>
        <v>wget --header='Accept-Language: en-us,en;q=0.5' -T 600 http://127.0.0.1/karbitexchanges/bitcointalk/tambah_marketplacealtcoin?halaman=1880 --delete-after</v>
      </c>
      <c r="E125" s="0" t="s">
        <v>367</v>
      </c>
      <c r="F125" s="0" t="s">
        <v>244</v>
      </c>
      <c r="L125" s="0" t="n">
        <f aca="false">Sheet9!L124-40</f>
        <v>1880</v>
      </c>
    </row>
    <row r="126" customFormat="false" ht="13.8" hidden="false" customHeight="false" outlineLevel="0" collapsed="false">
      <c r="A126" s="0" t="n">
        <f aca="false">Sheet9!A125-40</f>
        <v>3360</v>
      </c>
      <c r="C126" s="0" t="str">
        <f aca="false">CONCATENATE("wget --header='Accept-Language: en-us,en;q=0.5' -T 600 http://127.0.0.1/karbitexchanges/bitcointalk/tambah_announcementaltcoin?halaman=",Sheet9!A126," --delete-after")</f>
        <v>wget --header='Accept-Language: en-us,en;q=0.5' -T 600 http://127.0.0.1/karbitexchanges/bitcointalk/tambah_announcementaltcoin?halaman=3360 --delete-after</v>
      </c>
      <c r="D126" s="0" t="str">
        <f aca="false">CONCATENATE("wget --header='Accept-Language: en-us,en;q=0.5' -T 600 http://127.0.0.1/karbitexchanges/bitcointalk/tambah_marketplacealtcoin?halaman=",Sheet9!L126," --delete-after")</f>
        <v>wget --header='Accept-Language: en-us,en;q=0.5' -T 600 http://127.0.0.1/karbitexchanges/bitcointalk/tambah_marketplacealtcoin?halaman=1840 --delete-after</v>
      </c>
      <c r="E126" s="0" t="s">
        <v>368</v>
      </c>
      <c r="F126" s="0" t="s">
        <v>244</v>
      </c>
      <c r="L126" s="0" t="n">
        <f aca="false">Sheet9!L125-40</f>
        <v>1840</v>
      </c>
    </row>
    <row r="127" customFormat="false" ht="13.8" hidden="false" customHeight="false" outlineLevel="0" collapsed="false">
      <c r="A127" s="0" t="n">
        <f aca="false">Sheet9!A126-40</f>
        <v>3320</v>
      </c>
      <c r="C127" s="0" t="str">
        <f aca="false">CONCATENATE("wget --header='Accept-Language: en-us,en;q=0.5' -T 600 http://127.0.0.1/karbitexchanges/bitcointalk/tambah_announcementaltcoin?halaman=",Sheet9!A127," --delete-after")</f>
        <v>wget --header='Accept-Language: en-us,en;q=0.5' -T 600 http://127.0.0.1/karbitexchanges/bitcointalk/tambah_announcementaltcoin?halaman=3320 --delete-after</v>
      </c>
      <c r="D127" s="0" t="str">
        <f aca="false">CONCATENATE("wget --header='Accept-Language: en-us,en;q=0.5' -T 600 http://127.0.0.1/karbitexchanges/bitcointalk/tambah_marketplacealtcoin?halaman=",Sheet9!L127," --delete-after")</f>
        <v>wget --header='Accept-Language: en-us,en;q=0.5' -T 600 http://127.0.0.1/karbitexchanges/bitcointalk/tambah_marketplacealtcoin?halaman=1800 --delete-after</v>
      </c>
      <c r="E127" s="0" t="s">
        <v>369</v>
      </c>
      <c r="F127" s="0" t="s">
        <v>244</v>
      </c>
      <c r="L127" s="0" t="n">
        <f aca="false">Sheet9!L126-40</f>
        <v>1800</v>
      </c>
    </row>
    <row r="128" customFormat="false" ht="13.8" hidden="false" customHeight="false" outlineLevel="0" collapsed="false">
      <c r="A128" s="0" t="n">
        <f aca="false">Sheet9!A127-40</f>
        <v>3280</v>
      </c>
      <c r="C128" s="0" t="str">
        <f aca="false">CONCATENATE("wget --header='Accept-Language: en-us,en;q=0.5' -T 600 http://127.0.0.1/karbitexchanges/bitcointalk/tambah_announcementaltcoin?halaman=",Sheet9!A128," --delete-after")</f>
        <v>wget --header='Accept-Language: en-us,en;q=0.5' -T 600 http://127.0.0.1/karbitexchanges/bitcointalk/tambah_announcementaltcoin?halaman=3280 --delete-after</v>
      </c>
      <c r="D128" s="0" t="str">
        <f aca="false">CONCATENATE("wget --header='Accept-Language: en-us,en;q=0.5' -T 600 http://127.0.0.1/karbitexchanges/bitcointalk/tambah_marketplacealtcoin?halaman=",Sheet9!L128," --delete-after")</f>
        <v>wget --header='Accept-Language: en-us,en;q=0.5' -T 600 http://127.0.0.1/karbitexchanges/bitcointalk/tambah_marketplacealtcoin?halaman=1760 --delete-after</v>
      </c>
      <c r="E128" s="0" t="s">
        <v>370</v>
      </c>
      <c r="F128" s="0" t="s">
        <v>244</v>
      </c>
      <c r="L128" s="0" t="n">
        <f aca="false">Sheet9!L127-40</f>
        <v>1760</v>
      </c>
    </row>
    <row r="129" customFormat="false" ht="13.8" hidden="false" customHeight="false" outlineLevel="0" collapsed="false">
      <c r="A129" s="0" t="n">
        <f aca="false">Sheet9!A128-40</f>
        <v>3240</v>
      </c>
      <c r="C129" s="0" t="str">
        <f aca="false">CONCATENATE("wget --header='Accept-Language: en-us,en;q=0.5' -T 600 http://127.0.0.1/karbitexchanges/bitcointalk/tambah_announcementaltcoin?halaman=",Sheet9!A129," --delete-after")</f>
        <v>wget --header='Accept-Language: en-us,en;q=0.5' -T 600 http://127.0.0.1/karbitexchanges/bitcointalk/tambah_announcementaltcoin?halaman=3240 --delete-after</v>
      </c>
      <c r="D129" s="0" t="str">
        <f aca="false">CONCATENATE("wget --header='Accept-Language: en-us,en;q=0.5' -T 600 http://127.0.0.1/karbitexchanges/bitcointalk/tambah_marketplacealtcoin?halaman=",Sheet9!L129," --delete-after")</f>
        <v>wget --header='Accept-Language: en-us,en;q=0.5' -T 600 http://127.0.0.1/karbitexchanges/bitcointalk/tambah_marketplacealtcoin?halaman=1720 --delete-after</v>
      </c>
      <c r="E129" s="0" t="s">
        <v>371</v>
      </c>
      <c r="F129" s="0" t="s">
        <v>244</v>
      </c>
      <c r="L129" s="0" t="n">
        <f aca="false">Sheet9!L128-40</f>
        <v>1720</v>
      </c>
    </row>
    <row r="130" customFormat="false" ht="13.8" hidden="false" customHeight="false" outlineLevel="0" collapsed="false">
      <c r="A130" s="0" t="n">
        <f aca="false">Sheet9!A129-40</f>
        <v>3200</v>
      </c>
      <c r="C130" s="0" t="str">
        <f aca="false">CONCATENATE("wget --header='Accept-Language: en-us,en;q=0.5' -T 600 http://127.0.0.1/karbitexchanges/bitcointalk/tambah_announcementaltcoin?halaman=",Sheet9!A130," --delete-after")</f>
        <v>wget --header='Accept-Language: en-us,en;q=0.5' -T 600 http://127.0.0.1/karbitexchanges/bitcointalk/tambah_announcementaltcoin?halaman=3200 --delete-after</v>
      </c>
      <c r="D130" s="0" t="str">
        <f aca="false">CONCATENATE("wget --header='Accept-Language: en-us,en;q=0.5' -T 600 http://127.0.0.1/karbitexchanges/bitcointalk/tambah_marketplacealtcoin?halaman=",Sheet9!L130," --delete-after")</f>
        <v>wget --header='Accept-Language: en-us,en;q=0.5' -T 600 http://127.0.0.1/karbitexchanges/bitcointalk/tambah_marketplacealtcoin?halaman=1680 --delete-after</v>
      </c>
      <c r="E130" s="0" t="s">
        <v>372</v>
      </c>
      <c r="F130" s="0" t="s">
        <v>244</v>
      </c>
      <c r="L130" s="0" t="n">
        <f aca="false">Sheet9!L129-40</f>
        <v>1680</v>
      </c>
    </row>
    <row r="131" customFormat="false" ht="13.8" hidden="false" customHeight="false" outlineLevel="0" collapsed="false">
      <c r="A131" s="0" t="n">
        <f aca="false">Sheet9!A130-40</f>
        <v>3160</v>
      </c>
      <c r="C131" s="0" t="str">
        <f aca="false">CONCATENATE("wget --header='Accept-Language: en-us,en;q=0.5' -T 600 http://127.0.0.1/karbitexchanges/bitcointalk/tambah_announcementaltcoin?halaman=",Sheet9!A131," --delete-after")</f>
        <v>wget --header='Accept-Language: en-us,en;q=0.5' -T 600 http://127.0.0.1/karbitexchanges/bitcointalk/tambah_announcementaltcoin?halaman=3160 --delete-after</v>
      </c>
      <c r="D131" s="0" t="str">
        <f aca="false">CONCATENATE("wget --header='Accept-Language: en-us,en;q=0.5' -T 600 http://127.0.0.1/karbitexchanges/bitcointalk/tambah_marketplacealtcoin?halaman=",Sheet9!L131," --delete-after")</f>
        <v>wget --header='Accept-Language: en-us,en;q=0.5' -T 600 http://127.0.0.1/karbitexchanges/bitcointalk/tambah_marketplacealtcoin?halaman=1640 --delete-after</v>
      </c>
      <c r="E131" s="0" t="s">
        <v>373</v>
      </c>
      <c r="F131" s="0" t="s">
        <v>244</v>
      </c>
      <c r="L131" s="0" t="n">
        <f aca="false">Sheet9!L130-40</f>
        <v>1640</v>
      </c>
    </row>
    <row r="132" customFormat="false" ht="13.8" hidden="false" customHeight="false" outlineLevel="0" collapsed="false">
      <c r="A132" s="0" t="n">
        <f aca="false">Sheet9!A131-40</f>
        <v>3120</v>
      </c>
      <c r="C132" s="0" t="str">
        <f aca="false">CONCATENATE("wget --header='Accept-Language: en-us,en;q=0.5' -T 600 http://127.0.0.1/karbitexchanges/bitcointalk/tambah_announcementaltcoin?halaman=",Sheet9!A132," --delete-after")</f>
        <v>wget --header='Accept-Language: en-us,en;q=0.5' -T 600 http://127.0.0.1/karbitexchanges/bitcointalk/tambah_announcementaltcoin?halaman=3120 --delete-after</v>
      </c>
      <c r="D132" s="0" t="str">
        <f aca="false">CONCATENATE("wget --header='Accept-Language: en-us,en;q=0.5' -T 600 http://127.0.0.1/karbitexchanges/bitcointalk/tambah_marketplacealtcoin?halaman=",Sheet9!L132," --delete-after")</f>
        <v>wget --header='Accept-Language: en-us,en;q=0.5' -T 600 http://127.0.0.1/karbitexchanges/bitcointalk/tambah_marketplacealtcoin?halaman=1600 --delete-after</v>
      </c>
      <c r="E132" s="0" t="s">
        <v>374</v>
      </c>
      <c r="F132" s="0" t="s">
        <v>244</v>
      </c>
      <c r="L132" s="0" t="n">
        <f aca="false">Sheet9!L131-40</f>
        <v>1600</v>
      </c>
    </row>
    <row r="133" customFormat="false" ht="13.8" hidden="false" customHeight="false" outlineLevel="0" collapsed="false">
      <c r="A133" s="0" t="n">
        <f aca="false">Sheet9!A132-40</f>
        <v>3080</v>
      </c>
      <c r="C133" s="0" t="str">
        <f aca="false">CONCATENATE("wget --header='Accept-Language: en-us,en;q=0.5' -T 600 http://127.0.0.1/karbitexchanges/bitcointalk/tambah_announcementaltcoin?halaman=",Sheet9!A133," --delete-after")</f>
        <v>wget --header='Accept-Language: en-us,en;q=0.5' -T 600 http://127.0.0.1/karbitexchanges/bitcointalk/tambah_announcementaltcoin?halaman=3080 --delete-after</v>
      </c>
      <c r="D133" s="0" t="str">
        <f aca="false">CONCATENATE("wget --header='Accept-Language: en-us,en;q=0.5' -T 600 http://127.0.0.1/karbitexchanges/bitcointalk/tambah_marketplacealtcoin?halaman=",Sheet9!L133," --delete-after")</f>
        <v>wget --header='Accept-Language: en-us,en;q=0.5' -T 600 http://127.0.0.1/karbitexchanges/bitcointalk/tambah_marketplacealtcoin?halaman=1560 --delete-after</v>
      </c>
      <c r="E133" s="0" t="s">
        <v>375</v>
      </c>
      <c r="F133" s="0" t="s">
        <v>244</v>
      </c>
      <c r="L133" s="0" t="n">
        <f aca="false">Sheet9!L132-40</f>
        <v>1560</v>
      </c>
    </row>
    <row r="134" customFormat="false" ht="13.8" hidden="false" customHeight="false" outlineLevel="0" collapsed="false">
      <c r="A134" s="0" t="n">
        <f aca="false">Sheet9!A133-40</f>
        <v>3040</v>
      </c>
      <c r="C134" s="0" t="str">
        <f aca="false">CONCATENATE("wget --header='Accept-Language: en-us,en;q=0.5' -T 600 http://127.0.0.1/karbitexchanges/bitcointalk/tambah_announcementaltcoin?halaman=",Sheet9!A134," --delete-after")</f>
        <v>wget --header='Accept-Language: en-us,en;q=0.5' -T 600 http://127.0.0.1/karbitexchanges/bitcointalk/tambah_announcementaltcoin?halaman=3040 --delete-after</v>
      </c>
      <c r="D134" s="0" t="str">
        <f aca="false">CONCATENATE("wget --header='Accept-Language: en-us,en;q=0.5' -T 600 http://127.0.0.1/karbitexchanges/bitcointalk/tambah_marketplacealtcoin?halaman=",Sheet9!L134," --delete-after")</f>
        <v>wget --header='Accept-Language: en-us,en;q=0.5' -T 600 http://127.0.0.1/karbitexchanges/bitcointalk/tambah_marketplacealtcoin?halaman=1520 --delete-after</v>
      </c>
      <c r="E134" s="0" t="s">
        <v>376</v>
      </c>
      <c r="F134" s="0" t="s">
        <v>244</v>
      </c>
      <c r="L134" s="0" t="n">
        <f aca="false">Sheet9!L133-40</f>
        <v>1520</v>
      </c>
    </row>
    <row r="135" customFormat="false" ht="13.8" hidden="false" customHeight="false" outlineLevel="0" collapsed="false">
      <c r="A135" s="0" t="n">
        <f aca="false">Sheet9!A134-40</f>
        <v>3000</v>
      </c>
      <c r="C135" s="0" t="str">
        <f aca="false">CONCATENATE("wget --header='Accept-Language: en-us,en;q=0.5' -T 600 http://127.0.0.1/karbitexchanges/bitcointalk/tambah_announcementaltcoin?halaman=",Sheet9!A135," --delete-after")</f>
        <v>wget --header='Accept-Language: en-us,en;q=0.5' -T 600 http://127.0.0.1/karbitexchanges/bitcointalk/tambah_announcementaltcoin?halaman=3000 --delete-after</v>
      </c>
      <c r="D135" s="0" t="str">
        <f aca="false">CONCATENATE("wget --header='Accept-Language: en-us,en;q=0.5' -T 600 http://127.0.0.1/karbitexchanges/bitcointalk/tambah_marketplacealtcoin?halaman=",Sheet9!L135," --delete-after")</f>
        <v>wget --header='Accept-Language: en-us,en;q=0.5' -T 600 http://127.0.0.1/karbitexchanges/bitcointalk/tambah_marketplacealtcoin?halaman=1480 --delete-after</v>
      </c>
      <c r="E135" s="0" t="s">
        <v>377</v>
      </c>
      <c r="F135" s="0" t="s">
        <v>244</v>
      </c>
      <c r="L135" s="0" t="n">
        <f aca="false">Sheet9!L134-40</f>
        <v>1480</v>
      </c>
    </row>
    <row r="136" customFormat="false" ht="13.8" hidden="false" customHeight="false" outlineLevel="0" collapsed="false">
      <c r="A136" s="0" t="n">
        <f aca="false">Sheet9!A135-40</f>
        <v>2960</v>
      </c>
      <c r="C136" s="0" t="str">
        <f aca="false">CONCATENATE("wget --header='Accept-Language: en-us,en;q=0.5' -T 600 http://127.0.0.1/karbitexchanges/bitcointalk/tambah_announcementaltcoin?halaman=",Sheet9!A136," --delete-after")</f>
        <v>wget --header='Accept-Language: en-us,en;q=0.5' -T 600 http://127.0.0.1/karbitexchanges/bitcointalk/tambah_announcementaltcoin?halaman=2960 --delete-after</v>
      </c>
      <c r="D136" s="0" t="str">
        <f aca="false">CONCATENATE("wget --header='Accept-Language: en-us,en;q=0.5' -T 600 http://127.0.0.1/karbitexchanges/bitcointalk/tambah_marketplacealtcoin?halaman=",Sheet9!L136," --delete-after")</f>
        <v>wget --header='Accept-Language: en-us,en;q=0.5' -T 600 http://127.0.0.1/karbitexchanges/bitcointalk/tambah_marketplacealtcoin?halaman=1440 --delete-after</v>
      </c>
      <c r="E136" s="0" t="s">
        <v>378</v>
      </c>
      <c r="F136" s="0" t="s">
        <v>244</v>
      </c>
      <c r="L136" s="0" t="n">
        <f aca="false">Sheet9!L135-40</f>
        <v>1440</v>
      </c>
    </row>
    <row r="137" customFormat="false" ht="13.8" hidden="false" customHeight="false" outlineLevel="0" collapsed="false">
      <c r="A137" s="0" t="n">
        <f aca="false">Sheet9!A136-40</f>
        <v>2920</v>
      </c>
      <c r="C137" s="0" t="str">
        <f aca="false">CONCATENATE("wget --header='Accept-Language: en-us,en;q=0.5' -T 600 http://127.0.0.1/karbitexchanges/bitcointalk/tambah_announcementaltcoin?halaman=",Sheet9!A137," --delete-after")</f>
        <v>wget --header='Accept-Language: en-us,en;q=0.5' -T 600 http://127.0.0.1/karbitexchanges/bitcointalk/tambah_announcementaltcoin?halaman=2920 --delete-after</v>
      </c>
      <c r="D137" s="0" t="str">
        <f aca="false">CONCATENATE("wget --header='Accept-Language: en-us,en;q=0.5' -T 600 http://127.0.0.1/karbitexchanges/bitcointalk/tambah_marketplacealtcoin?halaman=",Sheet9!L137," --delete-after")</f>
        <v>wget --header='Accept-Language: en-us,en;q=0.5' -T 600 http://127.0.0.1/karbitexchanges/bitcointalk/tambah_marketplacealtcoin?halaman=1400 --delete-after</v>
      </c>
      <c r="E137" s="0" t="s">
        <v>379</v>
      </c>
      <c r="F137" s="0" t="s">
        <v>244</v>
      </c>
      <c r="L137" s="0" t="n">
        <f aca="false">Sheet9!L136-40</f>
        <v>1400</v>
      </c>
    </row>
    <row r="138" customFormat="false" ht="13.8" hidden="false" customHeight="false" outlineLevel="0" collapsed="false">
      <c r="A138" s="0" t="n">
        <f aca="false">Sheet9!A137-40</f>
        <v>2880</v>
      </c>
      <c r="C138" s="0" t="str">
        <f aca="false">CONCATENATE("wget --header='Accept-Language: en-us,en;q=0.5' -T 600 http://127.0.0.1/karbitexchanges/bitcointalk/tambah_announcementaltcoin?halaman=",Sheet9!A138," --delete-after")</f>
        <v>wget --header='Accept-Language: en-us,en;q=0.5' -T 600 http://127.0.0.1/karbitexchanges/bitcointalk/tambah_announcementaltcoin?halaman=2880 --delete-after</v>
      </c>
      <c r="D138" s="0" t="str">
        <f aca="false">CONCATENATE("wget --header='Accept-Language: en-us,en;q=0.5' -T 600 http://127.0.0.1/karbitexchanges/bitcointalk/tambah_marketplacealtcoin?halaman=",Sheet9!L138," --delete-after")</f>
        <v>wget --header='Accept-Language: en-us,en;q=0.5' -T 600 http://127.0.0.1/karbitexchanges/bitcointalk/tambah_marketplacealtcoin?halaman=1360 --delete-after</v>
      </c>
      <c r="E138" s="0" t="s">
        <v>380</v>
      </c>
      <c r="F138" s="0" t="s">
        <v>244</v>
      </c>
      <c r="L138" s="0" t="n">
        <f aca="false">Sheet9!L137-40</f>
        <v>1360</v>
      </c>
    </row>
    <row r="139" customFormat="false" ht="13.8" hidden="false" customHeight="false" outlineLevel="0" collapsed="false">
      <c r="A139" s="0" t="n">
        <f aca="false">Sheet9!A138-40</f>
        <v>2840</v>
      </c>
      <c r="C139" s="0" t="str">
        <f aca="false">CONCATENATE("wget --header='Accept-Language: en-us,en;q=0.5' -T 600 http://127.0.0.1/karbitexchanges/bitcointalk/tambah_announcementaltcoin?halaman=",Sheet9!A139," --delete-after")</f>
        <v>wget --header='Accept-Language: en-us,en;q=0.5' -T 600 http://127.0.0.1/karbitexchanges/bitcointalk/tambah_announcementaltcoin?halaman=2840 --delete-after</v>
      </c>
      <c r="D139" s="0" t="str">
        <f aca="false">CONCATENATE("wget --header='Accept-Language: en-us,en;q=0.5' -T 600 http://127.0.0.1/karbitexchanges/bitcointalk/tambah_marketplacealtcoin?halaman=",Sheet9!L139," --delete-after")</f>
        <v>wget --header='Accept-Language: en-us,en;q=0.5' -T 600 http://127.0.0.1/karbitexchanges/bitcointalk/tambah_marketplacealtcoin?halaman=1320 --delete-after</v>
      </c>
      <c r="E139" s="0" t="s">
        <v>381</v>
      </c>
      <c r="F139" s="0" t="s">
        <v>244</v>
      </c>
      <c r="L139" s="0" t="n">
        <f aca="false">Sheet9!L138-40</f>
        <v>1320</v>
      </c>
    </row>
    <row r="140" customFormat="false" ht="13.8" hidden="false" customHeight="false" outlineLevel="0" collapsed="false">
      <c r="A140" s="0" t="n">
        <f aca="false">Sheet9!A139-40</f>
        <v>2800</v>
      </c>
      <c r="C140" s="0" t="str">
        <f aca="false">CONCATENATE("wget --header='Accept-Language: en-us,en;q=0.5' -T 600 http://127.0.0.1/karbitexchanges/bitcointalk/tambah_announcementaltcoin?halaman=",Sheet9!A140," --delete-after")</f>
        <v>wget --header='Accept-Language: en-us,en;q=0.5' -T 600 http://127.0.0.1/karbitexchanges/bitcointalk/tambah_announcementaltcoin?halaman=2800 --delete-after</v>
      </c>
      <c r="D140" s="0" t="str">
        <f aca="false">CONCATENATE("wget --header='Accept-Language: en-us,en;q=0.5' -T 600 http://127.0.0.1/karbitexchanges/bitcointalk/tambah_marketplacealtcoin?halaman=",Sheet9!L140," --delete-after")</f>
        <v>wget --header='Accept-Language: en-us,en;q=0.5' -T 600 http://127.0.0.1/karbitexchanges/bitcointalk/tambah_marketplacealtcoin?halaman=1280 --delete-after</v>
      </c>
      <c r="E140" s="0" t="s">
        <v>382</v>
      </c>
      <c r="F140" s="0" t="s">
        <v>244</v>
      </c>
      <c r="L140" s="0" t="n">
        <f aca="false">Sheet9!L139-40</f>
        <v>1280</v>
      </c>
    </row>
    <row r="141" customFormat="false" ht="13.8" hidden="false" customHeight="false" outlineLevel="0" collapsed="false">
      <c r="A141" s="0" t="n">
        <f aca="false">Sheet9!A140-40</f>
        <v>2760</v>
      </c>
      <c r="C141" s="0" t="str">
        <f aca="false">CONCATENATE("wget --header='Accept-Language: en-us,en;q=0.5' -T 600 http://127.0.0.1/karbitexchanges/bitcointalk/tambah_announcementaltcoin?halaman=",Sheet9!A141," --delete-after")</f>
        <v>wget --header='Accept-Language: en-us,en;q=0.5' -T 600 http://127.0.0.1/karbitexchanges/bitcointalk/tambah_announcementaltcoin?halaman=2760 --delete-after</v>
      </c>
      <c r="D141" s="0" t="str">
        <f aca="false">CONCATENATE("wget --header='Accept-Language: en-us,en;q=0.5' -T 600 http://127.0.0.1/karbitexchanges/bitcointalk/tambah_marketplacealtcoin?halaman=",Sheet9!L141," --delete-after")</f>
        <v>wget --header='Accept-Language: en-us,en;q=0.5' -T 600 http://127.0.0.1/karbitexchanges/bitcointalk/tambah_marketplacealtcoin?halaman=1240 --delete-after</v>
      </c>
      <c r="E141" s="0" t="s">
        <v>383</v>
      </c>
      <c r="F141" s="0" t="s">
        <v>244</v>
      </c>
      <c r="L141" s="0" t="n">
        <f aca="false">Sheet9!L140-40</f>
        <v>1240</v>
      </c>
    </row>
    <row r="142" customFormat="false" ht="13.8" hidden="false" customHeight="false" outlineLevel="0" collapsed="false">
      <c r="A142" s="0" t="n">
        <f aca="false">Sheet9!A141-40</f>
        <v>2720</v>
      </c>
      <c r="C142" s="0" t="str">
        <f aca="false">CONCATENATE("wget --header='Accept-Language: en-us,en;q=0.5' -T 600 http://127.0.0.1/karbitexchanges/bitcointalk/tambah_announcementaltcoin?halaman=",Sheet9!A142," --delete-after")</f>
        <v>wget --header='Accept-Language: en-us,en;q=0.5' -T 600 http://127.0.0.1/karbitexchanges/bitcointalk/tambah_announcementaltcoin?halaman=2720 --delete-after</v>
      </c>
      <c r="D142" s="0" t="str">
        <f aca="false">CONCATENATE("wget --header='Accept-Language: en-us,en;q=0.5' -T 600 http://127.0.0.1/karbitexchanges/bitcointalk/tambah_marketplacealtcoin?halaman=",Sheet9!L142," --delete-after")</f>
        <v>wget --header='Accept-Language: en-us,en;q=0.5' -T 600 http://127.0.0.1/karbitexchanges/bitcointalk/tambah_marketplacealtcoin?halaman=1200 --delete-after</v>
      </c>
      <c r="E142" s="0" t="s">
        <v>384</v>
      </c>
      <c r="F142" s="0" t="s">
        <v>244</v>
      </c>
      <c r="L142" s="0" t="n">
        <f aca="false">Sheet9!L141-40</f>
        <v>1200</v>
      </c>
    </row>
    <row r="143" customFormat="false" ht="13.8" hidden="false" customHeight="false" outlineLevel="0" collapsed="false">
      <c r="A143" s="0" t="n">
        <f aca="false">Sheet9!A142-40</f>
        <v>2680</v>
      </c>
      <c r="C143" s="0" t="str">
        <f aca="false">CONCATENATE("wget --header='Accept-Language: en-us,en;q=0.5' -T 600 http://127.0.0.1/karbitexchanges/bitcointalk/tambah_announcementaltcoin?halaman=",Sheet9!A143," --delete-after")</f>
        <v>wget --header='Accept-Language: en-us,en;q=0.5' -T 600 http://127.0.0.1/karbitexchanges/bitcointalk/tambah_announcementaltcoin?halaman=2680 --delete-after</v>
      </c>
      <c r="D143" s="0" t="str">
        <f aca="false">CONCATENATE("wget --header='Accept-Language: en-us,en;q=0.5' -T 600 http://127.0.0.1/karbitexchanges/bitcointalk/tambah_marketplacealtcoin?halaman=",Sheet9!L143," --delete-after")</f>
        <v>wget --header='Accept-Language: en-us,en;q=0.5' -T 600 http://127.0.0.1/karbitexchanges/bitcointalk/tambah_marketplacealtcoin?halaman=1160 --delete-after</v>
      </c>
      <c r="E143" s="0" t="s">
        <v>385</v>
      </c>
      <c r="F143" s="0" t="s">
        <v>244</v>
      </c>
      <c r="L143" s="0" t="n">
        <f aca="false">Sheet9!L142-40</f>
        <v>1160</v>
      </c>
    </row>
    <row r="144" customFormat="false" ht="13.8" hidden="false" customHeight="false" outlineLevel="0" collapsed="false">
      <c r="A144" s="0" t="n">
        <f aca="false">Sheet9!A143-40</f>
        <v>2640</v>
      </c>
      <c r="C144" s="0" t="str">
        <f aca="false">CONCATENATE("wget --header='Accept-Language: en-us,en;q=0.5' -T 600 http://127.0.0.1/karbitexchanges/bitcointalk/tambah_announcementaltcoin?halaman=",Sheet9!A144," --delete-after")</f>
        <v>wget --header='Accept-Language: en-us,en;q=0.5' -T 600 http://127.0.0.1/karbitexchanges/bitcointalk/tambah_announcementaltcoin?halaman=2640 --delete-after</v>
      </c>
      <c r="D144" s="0" t="str">
        <f aca="false">CONCATENATE("wget --header='Accept-Language: en-us,en;q=0.5' -T 600 http://127.0.0.1/karbitexchanges/bitcointalk/tambah_marketplacealtcoin?halaman=",Sheet9!L144," --delete-after")</f>
        <v>wget --header='Accept-Language: en-us,en;q=0.5' -T 600 http://127.0.0.1/karbitexchanges/bitcointalk/tambah_marketplacealtcoin?halaman=1120 --delete-after</v>
      </c>
      <c r="E144" s="0" t="s">
        <v>386</v>
      </c>
      <c r="F144" s="0" t="s">
        <v>244</v>
      </c>
      <c r="L144" s="0" t="n">
        <f aca="false">Sheet9!L143-40</f>
        <v>1120</v>
      </c>
    </row>
    <row r="145" customFormat="false" ht="13.8" hidden="false" customHeight="false" outlineLevel="0" collapsed="false">
      <c r="A145" s="0" t="n">
        <f aca="false">Sheet9!A144-40</f>
        <v>2600</v>
      </c>
      <c r="C145" s="0" t="str">
        <f aca="false">CONCATENATE("wget --header='Accept-Language: en-us,en;q=0.5' -T 600 http://127.0.0.1/karbitexchanges/bitcointalk/tambah_announcementaltcoin?halaman=",Sheet9!A145," --delete-after")</f>
        <v>wget --header='Accept-Language: en-us,en;q=0.5' -T 600 http://127.0.0.1/karbitexchanges/bitcointalk/tambah_announcementaltcoin?halaman=2600 --delete-after</v>
      </c>
      <c r="D145" s="0" t="str">
        <f aca="false">CONCATENATE("wget --header='Accept-Language: en-us,en;q=0.5' -T 600 http://127.0.0.1/karbitexchanges/bitcointalk/tambah_marketplacealtcoin?halaman=",Sheet9!L145," --delete-after")</f>
        <v>wget --header='Accept-Language: en-us,en;q=0.5' -T 600 http://127.0.0.1/karbitexchanges/bitcointalk/tambah_marketplacealtcoin?halaman=1080 --delete-after</v>
      </c>
      <c r="E145" s="0" t="s">
        <v>387</v>
      </c>
      <c r="F145" s="0" t="s">
        <v>244</v>
      </c>
      <c r="L145" s="0" t="n">
        <f aca="false">Sheet9!L144-40</f>
        <v>1080</v>
      </c>
    </row>
    <row r="146" customFormat="false" ht="13.8" hidden="false" customHeight="false" outlineLevel="0" collapsed="false">
      <c r="A146" s="0" t="n">
        <f aca="false">Sheet9!A145-40</f>
        <v>2560</v>
      </c>
      <c r="C146" s="0" t="str">
        <f aca="false">CONCATENATE("wget --header='Accept-Language: en-us,en;q=0.5' -T 600 http://127.0.0.1/karbitexchanges/bitcointalk/tambah_announcementaltcoin?halaman=",Sheet9!A146," --delete-after")</f>
        <v>wget --header='Accept-Language: en-us,en;q=0.5' -T 600 http://127.0.0.1/karbitexchanges/bitcointalk/tambah_announcementaltcoin?halaman=2560 --delete-after</v>
      </c>
      <c r="D146" s="0" t="str">
        <f aca="false">CONCATENATE("wget --header='Accept-Language: en-us,en;q=0.5' -T 600 http://127.0.0.1/karbitexchanges/bitcointalk/tambah_marketplacealtcoin?halaman=",Sheet9!L146," --delete-after")</f>
        <v>wget --header='Accept-Language: en-us,en;q=0.5' -T 600 http://127.0.0.1/karbitexchanges/bitcointalk/tambah_marketplacealtcoin?halaman=1040 --delete-after</v>
      </c>
      <c r="E146" s="0" t="s">
        <v>388</v>
      </c>
      <c r="F146" s="0" t="s">
        <v>244</v>
      </c>
      <c r="L146" s="0" t="n">
        <f aca="false">Sheet9!L145-40</f>
        <v>1040</v>
      </c>
    </row>
    <row r="147" customFormat="false" ht="13.8" hidden="false" customHeight="false" outlineLevel="0" collapsed="false">
      <c r="A147" s="0" t="n">
        <f aca="false">Sheet9!A146-40</f>
        <v>2520</v>
      </c>
      <c r="C147" s="0" t="str">
        <f aca="false">CONCATENATE("wget --header='Accept-Language: en-us,en;q=0.5' -T 600 http://127.0.0.1/karbitexchanges/bitcointalk/tambah_announcementaltcoin?halaman=",Sheet9!A147," --delete-after")</f>
        <v>wget --header='Accept-Language: en-us,en;q=0.5' -T 600 http://127.0.0.1/karbitexchanges/bitcointalk/tambah_announcementaltcoin?halaman=2520 --delete-after</v>
      </c>
      <c r="D147" s="0" t="str">
        <f aca="false">CONCATENATE("wget --header='Accept-Language: en-us,en;q=0.5' -T 600 http://127.0.0.1/karbitexchanges/bitcointalk/tambah_marketplacealtcoin?halaman=",Sheet9!L147," --delete-after")</f>
        <v>wget --header='Accept-Language: en-us,en;q=0.5' -T 600 http://127.0.0.1/karbitexchanges/bitcointalk/tambah_marketplacealtcoin?halaman=1000 --delete-after</v>
      </c>
      <c r="E147" s="0" t="s">
        <v>389</v>
      </c>
      <c r="F147" s="0" t="s">
        <v>244</v>
      </c>
      <c r="L147" s="0" t="n">
        <f aca="false">Sheet9!L146-40</f>
        <v>1000</v>
      </c>
    </row>
    <row r="148" customFormat="false" ht="13.8" hidden="false" customHeight="false" outlineLevel="0" collapsed="false">
      <c r="A148" s="0" t="n">
        <f aca="false">Sheet9!A147-40</f>
        <v>2480</v>
      </c>
      <c r="C148" s="0" t="str">
        <f aca="false">CONCATENATE("wget --header='Accept-Language: en-us,en;q=0.5' -T 600 http://127.0.0.1/karbitexchanges/bitcointalk/tambah_announcementaltcoin?halaman=",Sheet9!A148," --delete-after")</f>
        <v>wget --header='Accept-Language: en-us,en;q=0.5' -T 600 http://127.0.0.1/karbitexchanges/bitcointalk/tambah_announcementaltcoin?halaman=2480 --delete-after</v>
      </c>
      <c r="D148" s="0" t="str">
        <f aca="false">CONCATENATE("wget --header='Accept-Language: en-us,en;q=0.5' -T 600 http://127.0.0.1/karbitexchanges/bitcointalk/tambah_marketplacealtcoin?halaman=",Sheet9!L148," --delete-after")</f>
        <v>wget --header='Accept-Language: en-us,en;q=0.5' -T 600 http://127.0.0.1/karbitexchanges/bitcointalk/tambah_marketplacealtcoin?halaman=960 --delete-after</v>
      </c>
      <c r="E148" s="0" t="s">
        <v>390</v>
      </c>
      <c r="F148" s="0" t="s">
        <v>244</v>
      </c>
      <c r="L148" s="0" t="n">
        <f aca="false">Sheet9!L147-40</f>
        <v>960</v>
      </c>
    </row>
    <row r="149" customFormat="false" ht="13.8" hidden="false" customHeight="false" outlineLevel="0" collapsed="false">
      <c r="A149" s="0" t="n">
        <f aca="false">Sheet9!A148-40</f>
        <v>2440</v>
      </c>
      <c r="C149" s="0" t="str">
        <f aca="false">CONCATENATE("wget --header='Accept-Language: en-us,en;q=0.5' -T 600 http://127.0.0.1/karbitexchanges/bitcointalk/tambah_announcementaltcoin?halaman=",Sheet9!A149," --delete-after")</f>
        <v>wget --header='Accept-Language: en-us,en;q=0.5' -T 600 http://127.0.0.1/karbitexchanges/bitcointalk/tambah_announcementaltcoin?halaman=2440 --delete-after</v>
      </c>
      <c r="D149" s="0" t="str">
        <f aca="false">CONCATENATE("wget --header='Accept-Language: en-us,en;q=0.5' -T 600 http://127.0.0.1/karbitexchanges/bitcointalk/tambah_marketplacealtcoin?halaman=",Sheet9!L149," --delete-after")</f>
        <v>wget --header='Accept-Language: en-us,en;q=0.5' -T 600 http://127.0.0.1/karbitexchanges/bitcointalk/tambah_marketplacealtcoin?halaman=920 --delete-after</v>
      </c>
      <c r="E149" s="0" t="s">
        <v>391</v>
      </c>
      <c r="F149" s="0" t="s">
        <v>244</v>
      </c>
      <c r="L149" s="0" t="n">
        <f aca="false">Sheet9!L148-40</f>
        <v>920</v>
      </c>
    </row>
    <row r="150" customFormat="false" ht="13.8" hidden="false" customHeight="false" outlineLevel="0" collapsed="false">
      <c r="A150" s="0" t="n">
        <f aca="false">Sheet9!A149-40</f>
        <v>2400</v>
      </c>
      <c r="C150" s="0" t="str">
        <f aca="false">CONCATENATE("wget --header='Accept-Language: en-us,en;q=0.5' -T 600 http://127.0.0.1/karbitexchanges/bitcointalk/tambah_announcementaltcoin?halaman=",Sheet9!A150," --delete-after")</f>
        <v>wget --header='Accept-Language: en-us,en;q=0.5' -T 600 http://127.0.0.1/karbitexchanges/bitcointalk/tambah_announcementaltcoin?halaman=2400 --delete-after</v>
      </c>
      <c r="D150" s="0" t="str">
        <f aca="false">CONCATENATE("wget --header='Accept-Language: en-us,en;q=0.5' -T 600 http://127.0.0.1/karbitexchanges/bitcointalk/tambah_marketplacealtcoin?halaman=",Sheet9!L150," --delete-after")</f>
        <v>wget --header='Accept-Language: en-us,en;q=0.5' -T 600 http://127.0.0.1/karbitexchanges/bitcointalk/tambah_marketplacealtcoin?halaman=880 --delete-after</v>
      </c>
      <c r="E150" s="0" t="s">
        <v>392</v>
      </c>
      <c r="F150" s="0" t="s">
        <v>244</v>
      </c>
      <c r="L150" s="0" t="n">
        <f aca="false">Sheet9!L149-40</f>
        <v>880</v>
      </c>
    </row>
    <row r="151" customFormat="false" ht="13.8" hidden="false" customHeight="false" outlineLevel="0" collapsed="false">
      <c r="A151" s="0" t="n">
        <f aca="false">Sheet9!A150-40</f>
        <v>2360</v>
      </c>
      <c r="C151" s="0" t="str">
        <f aca="false">CONCATENATE("wget --header='Accept-Language: en-us,en;q=0.5' -T 600 http://127.0.0.1/karbitexchanges/bitcointalk/tambah_announcementaltcoin?halaman=",Sheet9!A151," --delete-after")</f>
        <v>wget --header='Accept-Language: en-us,en;q=0.5' -T 600 http://127.0.0.1/karbitexchanges/bitcointalk/tambah_announcementaltcoin?halaman=2360 --delete-after</v>
      </c>
      <c r="D151" s="0" t="str">
        <f aca="false">CONCATENATE("wget --header='Accept-Language: en-us,en;q=0.5' -T 600 http://127.0.0.1/karbitexchanges/bitcointalk/tambah_marketplacealtcoin?halaman=",Sheet9!L151," --delete-after")</f>
        <v>wget --header='Accept-Language: en-us,en;q=0.5' -T 600 http://127.0.0.1/karbitexchanges/bitcointalk/tambah_marketplacealtcoin?halaman=840 --delete-after</v>
      </c>
      <c r="E151" s="0" t="s">
        <v>393</v>
      </c>
      <c r="F151" s="0" t="s">
        <v>244</v>
      </c>
      <c r="L151" s="0" t="n">
        <f aca="false">Sheet9!L150-40</f>
        <v>840</v>
      </c>
    </row>
    <row r="152" customFormat="false" ht="13.8" hidden="false" customHeight="false" outlineLevel="0" collapsed="false">
      <c r="A152" s="0" t="n">
        <f aca="false">Sheet9!A151-40</f>
        <v>2320</v>
      </c>
      <c r="C152" s="0" t="str">
        <f aca="false">CONCATENATE("wget --header='Accept-Language: en-us,en;q=0.5' -T 600 http://127.0.0.1/karbitexchanges/bitcointalk/tambah_announcementaltcoin?halaman=",Sheet9!A152," --delete-after")</f>
        <v>wget --header='Accept-Language: en-us,en;q=0.5' -T 600 http://127.0.0.1/karbitexchanges/bitcointalk/tambah_announcementaltcoin?halaman=2320 --delete-after</v>
      </c>
      <c r="D152" s="0" t="str">
        <f aca="false">CONCATENATE("wget --header='Accept-Language: en-us,en;q=0.5' -T 600 http://127.0.0.1/karbitexchanges/bitcointalk/tambah_marketplacealtcoin?halaman=",Sheet9!L152," --delete-after")</f>
        <v>wget --header='Accept-Language: en-us,en;q=0.5' -T 600 http://127.0.0.1/karbitexchanges/bitcointalk/tambah_marketplacealtcoin?halaman=800 --delete-after</v>
      </c>
      <c r="E152" s="0" t="s">
        <v>394</v>
      </c>
      <c r="F152" s="0" t="s">
        <v>244</v>
      </c>
      <c r="L152" s="0" t="n">
        <f aca="false">Sheet9!L151-40</f>
        <v>800</v>
      </c>
    </row>
    <row r="153" customFormat="false" ht="13.8" hidden="false" customHeight="false" outlineLevel="0" collapsed="false">
      <c r="A153" s="0" t="n">
        <f aca="false">Sheet9!A152-40</f>
        <v>2280</v>
      </c>
      <c r="C153" s="0" t="str">
        <f aca="false">CONCATENATE("wget --header='Accept-Language: en-us,en;q=0.5' -T 600 http://127.0.0.1/karbitexchanges/bitcointalk/tambah_announcementaltcoin?halaman=",Sheet9!A153," --delete-after")</f>
        <v>wget --header='Accept-Language: en-us,en;q=0.5' -T 600 http://127.0.0.1/karbitexchanges/bitcointalk/tambah_announcementaltcoin?halaman=2280 --delete-after</v>
      </c>
      <c r="D153" s="0" t="str">
        <f aca="false">CONCATENATE("wget --header='Accept-Language: en-us,en;q=0.5' -T 600 http://127.0.0.1/karbitexchanges/bitcointalk/tambah_marketplacealtcoin?halaman=",Sheet9!L153," --delete-after")</f>
        <v>wget --header='Accept-Language: en-us,en;q=0.5' -T 600 http://127.0.0.1/karbitexchanges/bitcointalk/tambah_marketplacealtcoin?halaman=760 --delete-after</v>
      </c>
      <c r="E153" s="0" t="s">
        <v>395</v>
      </c>
      <c r="F153" s="0" t="s">
        <v>244</v>
      </c>
      <c r="L153" s="0" t="n">
        <f aca="false">Sheet9!L152-40</f>
        <v>760</v>
      </c>
    </row>
    <row r="154" customFormat="false" ht="13.8" hidden="false" customHeight="false" outlineLevel="0" collapsed="false">
      <c r="A154" s="0" t="n">
        <f aca="false">Sheet9!A153-40</f>
        <v>2240</v>
      </c>
      <c r="C154" s="0" t="str">
        <f aca="false">CONCATENATE("wget --header='Accept-Language: en-us,en;q=0.5' -T 600 http://127.0.0.1/karbitexchanges/bitcointalk/tambah_announcementaltcoin?halaman=",Sheet9!A154," --delete-after")</f>
        <v>wget --header='Accept-Language: en-us,en;q=0.5' -T 600 http://127.0.0.1/karbitexchanges/bitcointalk/tambah_announcementaltcoin?halaman=2240 --delete-after</v>
      </c>
      <c r="D154" s="0" t="str">
        <f aca="false">CONCATENATE("wget --header='Accept-Language: en-us,en;q=0.5' -T 600 http://127.0.0.1/karbitexchanges/bitcointalk/tambah_marketplacealtcoin?halaman=",Sheet9!L154," --delete-after")</f>
        <v>wget --header='Accept-Language: en-us,en;q=0.5' -T 600 http://127.0.0.1/karbitexchanges/bitcointalk/tambah_marketplacealtcoin?halaman=720 --delete-after</v>
      </c>
      <c r="E154" s="0" t="s">
        <v>396</v>
      </c>
      <c r="F154" s="0" t="s">
        <v>244</v>
      </c>
      <c r="L154" s="0" t="n">
        <f aca="false">Sheet9!L153-40</f>
        <v>720</v>
      </c>
    </row>
    <row r="155" customFormat="false" ht="13.8" hidden="false" customHeight="false" outlineLevel="0" collapsed="false">
      <c r="A155" s="0" t="n">
        <f aca="false">Sheet9!A154-40</f>
        <v>2200</v>
      </c>
      <c r="C155" s="0" t="str">
        <f aca="false">CONCATENATE("wget --header='Accept-Language: en-us,en;q=0.5' -T 600 http://127.0.0.1/karbitexchanges/bitcointalk/tambah_announcementaltcoin?halaman=",Sheet9!A155," --delete-after")</f>
        <v>wget --header='Accept-Language: en-us,en;q=0.5' -T 600 http://127.0.0.1/karbitexchanges/bitcointalk/tambah_announcementaltcoin?halaman=2200 --delete-after</v>
      </c>
      <c r="D155" s="0" t="str">
        <f aca="false">CONCATENATE("wget --header='Accept-Language: en-us,en;q=0.5' -T 600 http://127.0.0.1/karbitexchanges/bitcointalk/tambah_marketplacealtcoin?halaman=",Sheet9!L155," --delete-after")</f>
        <v>wget --header='Accept-Language: en-us,en;q=0.5' -T 600 http://127.0.0.1/karbitexchanges/bitcointalk/tambah_marketplacealtcoin?halaman=680 --delete-after</v>
      </c>
      <c r="E155" s="0" t="s">
        <v>397</v>
      </c>
      <c r="F155" s="0" t="s">
        <v>244</v>
      </c>
      <c r="L155" s="0" t="n">
        <f aca="false">Sheet9!L154-40</f>
        <v>680</v>
      </c>
    </row>
    <row r="156" customFormat="false" ht="13.8" hidden="false" customHeight="false" outlineLevel="0" collapsed="false">
      <c r="A156" s="0" t="n">
        <f aca="false">Sheet9!A155-40</f>
        <v>2160</v>
      </c>
      <c r="C156" s="0" t="str">
        <f aca="false">CONCATENATE("wget --header='Accept-Language: en-us,en;q=0.5' -T 600 http://127.0.0.1/karbitexchanges/bitcointalk/tambah_announcementaltcoin?halaman=",Sheet9!A156," --delete-after")</f>
        <v>wget --header='Accept-Language: en-us,en;q=0.5' -T 600 http://127.0.0.1/karbitexchanges/bitcointalk/tambah_announcementaltcoin?halaman=2160 --delete-after</v>
      </c>
      <c r="D156" s="0" t="str">
        <f aca="false">CONCATENATE("wget --header='Accept-Language: en-us,en;q=0.5' -T 600 http://127.0.0.1/karbitexchanges/bitcointalk/tambah_marketplacealtcoin?halaman=",Sheet9!L156," --delete-after")</f>
        <v>wget --header='Accept-Language: en-us,en;q=0.5' -T 600 http://127.0.0.1/karbitexchanges/bitcointalk/tambah_marketplacealtcoin?halaman=640 --delete-after</v>
      </c>
      <c r="E156" s="0" t="s">
        <v>398</v>
      </c>
      <c r="F156" s="0" t="s">
        <v>244</v>
      </c>
      <c r="L156" s="0" t="n">
        <f aca="false">Sheet9!L155-40</f>
        <v>640</v>
      </c>
    </row>
    <row r="157" customFormat="false" ht="13.8" hidden="false" customHeight="false" outlineLevel="0" collapsed="false">
      <c r="A157" s="0" t="n">
        <f aca="false">Sheet9!A156-40</f>
        <v>2120</v>
      </c>
      <c r="C157" s="0" t="str">
        <f aca="false">CONCATENATE("wget --header='Accept-Language: en-us,en;q=0.5' -T 600 http://127.0.0.1/karbitexchanges/bitcointalk/tambah_announcementaltcoin?halaman=",Sheet9!A157," --delete-after")</f>
        <v>wget --header='Accept-Language: en-us,en;q=0.5' -T 600 http://127.0.0.1/karbitexchanges/bitcointalk/tambah_announcementaltcoin?halaman=2120 --delete-after</v>
      </c>
      <c r="D157" s="0" t="str">
        <f aca="false">CONCATENATE("wget --header='Accept-Language: en-us,en;q=0.5' -T 600 http://127.0.0.1/karbitexchanges/bitcointalk/tambah_marketplacealtcoin?halaman=",Sheet9!L157," --delete-after")</f>
        <v>wget --header='Accept-Language: en-us,en;q=0.5' -T 600 http://127.0.0.1/karbitexchanges/bitcointalk/tambah_marketplacealtcoin?halaman=600 --delete-after</v>
      </c>
      <c r="E157" s="0" t="s">
        <v>399</v>
      </c>
      <c r="F157" s="0" t="s">
        <v>244</v>
      </c>
      <c r="L157" s="0" t="n">
        <f aca="false">Sheet9!L156-40</f>
        <v>600</v>
      </c>
    </row>
    <row r="158" customFormat="false" ht="13.8" hidden="false" customHeight="false" outlineLevel="0" collapsed="false">
      <c r="A158" s="0" t="n">
        <f aca="false">Sheet9!A157-40</f>
        <v>2080</v>
      </c>
      <c r="C158" s="0" t="str">
        <f aca="false">CONCATENATE("wget --header='Accept-Language: en-us,en;q=0.5' -T 600 http://127.0.0.1/karbitexchanges/bitcointalk/tambah_announcementaltcoin?halaman=",Sheet9!A158," --delete-after")</f>
        <v>wget --header='Accept-Language: en-us,en;q=0.5' -T 600 http://127.0.0.1/karbitexchanges/bitcointalk/tambah_announcementaltcoin?halaman=2080 --delete-after</v>
      </c>
      <c r="D158" s="0" t="str">
        <f aca="false">CONCATENATE("wget --header='Accept-Language: en-us,en;q=0.5' -T 600 http://127.0.0.1/karbitexchanges/bitcointalk/tambah_marketplacealtcoin?halaman=",Sheet9!L158," --delete-after")</f>
        <v>wget --header='Accept-Language: en-us,en;q=0.5' -T 600 http://127.0.0.1/karbitexchanges/bitcointalk/tambah_marketplacealtcoin?halaman=560 --delete-after</v>
      </c>
      <c r="E158" s="0" t="s">
        <v>400</v>
      </c>
      <c r="F158" s="0" t="s">
        <v>244</v>
      </c>
      <c r="L158" s="0" t="n">
        <f aca="false">Sheet9!L157-40</f>
        <v>560</v>
      </c>
    </row>
    <row r="159" customFormat="false" ht="13.8" hidden="false" customHeight="false" outlineLevel="0" collapsed="false">
      <c r="A159" s="0" t="n">
        <f aca="false">Sheet9!A158-40</f>
        <v>2040</v>
      </c>
      <c r="C159" s="0" t="str">
        <f aca="false">CONCATENATE("wget --header='Accept-Language: en-us,en;q=0.5' -T 600 http://127.0.0.1/karbitexchanges/bitcointalk/tambah_announcementaltcoin?halaman=",Sheet9!A159," --delete-after")</f>
        <v>wget --header='Accept-Language: en-us,en;q=0.5' -T 600 http://127.0.0.1/karbitexchanges/bitcointalk/tambah_announcementaltcoin?halaman=2040 --delete-after</v>
      </c>
      <c r="D159" s="0" t="str">
        <f aca="false">CONCATENATE("wget --header='Accept-Language: en-us,en;q=0.5' -T 600 http://127.0.0.1/karbitexchanges/bitcointalk/tambah_marketplacealtcoin?halaman=",Sheet9!L159," --delete-after")</f>
        <v>wget --header='Accept-Language: en-us,en;q=0.5' -T 600 http://127.0.0.1/karbitexchanges/bitcointalk/tambah_marketplacealtcoin?halaman=520 --delete-after</v>
      </c>
      <c r="E159" s="0" t="s">
        <v>401</v>
      </c>
      <c r="F159" s="0" t="s">
        <v>244</v>
      </c>
      <c r="L159" s="0" t="n">
        <f aca="false">Sheet9!L158-40</f>
        <v>520</v>
      </c>
    </row>
    <row r="160" customFormat="false" ht="13.8" hidden="false" customHeight="false" outlineLevel="0" collapsed="false">
      <c r="A160" s="0" t="n">
        <f aca="false">Sheet9!A159-40</f>
        <v>2000</v>
      </c>
      <c r="C160" s="0" t="str">
        <f aca="false">CONCATENATE("wget --header='Accept-Language: en-us,en;q=0.5' -T 600 http://127.0.0.1/karbitexchanges/bitcointalk/tambah_announcementaltcoin?halaman=",Sheet9!A160," --delete-after")</f>
        <v>wget --header='Accept-Language: en-us,en;q=0.5' -T 600 http://127.0.0.1/karbitexchanges/bitcointalk/tambah_announcementaltcoin?halaman=2000 --delete-after</v>
      </c>
      <c r="D160" s="0" t="str">
        <f aca="false">CONCATENATE("wget --header='Accept-Language: en-us,en;q=0.5' -T 600 http://127.0.0.1/karbitexchanges/bitcointalk/tambah_marketplacealtcoin?halaman=",Sheet9!L160," --delete-after")</f>
        <v>wget --header='Accept-Language: en-us,en;q=0.5' -T 600 http://127.0.0.1/karbitexchanges/bitcointalk/tambah_marketplacealtcoin?halaman=480 --delete-after</v>
      </c>
      <c r="E160" s="0" t="s">
        <v>402</v>
      </c>
      <c r="F160" s="0" t="s">
        <v>244</v>
      </c>
      <c r="L160" s="0" t="n">
        <f aca="false">Sheet9!L159-40</f>
        <v>480</v>
      </c>
    </row>
    <row r="161" customFormat="false" ht="13.8" hidden="false" customHeight="false" outlineLevel="0" collapsed="false">
      <c r="A161" s="0" t="n">
        <f aca="false">Sheet9!A160-40</f>
        <v>1960</v>
      </c>
      <c r="C161" s="0" t="str">
        <f aca="false">CONCATENATE("wget --header='Accept-Language: en-us,en;q=0.5' -T 600 http://127.0.0.1/karbitexchanges/bitcointalk/tambah_announcementaltcoin?halaman=",Sheet9!A161," --delete-after")</f>
        <v>wget --header='Accept-Language: en-us,en;q=0.5' -T 600 http://127.0.0.1/karbitexchanges/bitcointalk/tambah_announcementaltcoin?halaman=1960 --delete-after</v>
      </c>
      <c r="D161" s="0" t="str">
        <f aca="false">CONCATENATE("wget --header='Accept-Language: en-us,en;q=0.5' -T 600 http://127.0.0.1/karbitexchanges/bitcointalk/tambah_marketplacealtcoin?halaman=",Sheet9!L161," --delete-after")</f>
        <v>wget --header='Accept-Language: en-us,en;q=0.5' -T 600 http://127.0.0.1/karbitexchanges/bitcointalk/tambah_marketplacealtcoin?halaman=440 --delete-after</v>
      </c>
      <c r="E161" s="0" t="s">
        <v>403</v>
      </c>
      <c r="F161" s="0" t="s">
        <v>244</v>
      </c>
      <c r="L161" s="0" t="n">
        <f aca="false">Sheet9!L160-40</f>
        <v>440</v>
      </c>
    </row>
    <row r="162" customFormat="false" ht="13.8" hidden="false" customHeight="false" outlineLevel="0" collapsed="false">
      <c r="A162" s="0" t="n">
        <f aca="false">Sheet9!A161-40</f>
        <v>1920</v>
      </c>
      <c r="C162" s="0" t="str">
        <f aca="false">CONCATENATE("wget --header='Accept-Language: en-us,en;q=0.5' -T 600 http://127.0.0.1/karbitexchanges/bitcointalk/tambah_announcementaltcoin?halaman=",Sheet9!A162," --delete-after")</f>
        <v>wget --header='Accept-Language: en-us,en;q=0.5' -T 600 http://127.0.0.1/karbitexchanges/bitcointalk/tambah_announcementaltcoin?halaman=1920 --delete-after</v>
      </c>
      <c r="D162" s="0" t="str">
        <f aca="false">CONCATENATE("wget --header='Accept-Language: en-us,en;q=0.5' -T 600 http://127.0.0.1/karbitexchanges/bitcointalk/tambah_marketplacealtcoin?halaman=",Sheet9!L162," --delete-after")</f>
        <v>wget --header='Accept-Language: en-us,en;q=0.5' -T 600 http://127.0.0.1/karbitexchanges/bitcointalk/tambah_marketplacealtcoin?halaman=400 --delete-after</v>
      </c>
      <c r="E162" s="0" t="s">
        <v>404</v>
      </c>
      <c r="F162" s="0" t="s">
        <v>244</v>
      </c>
      <c r="L162" s="0" t="n">
        <f aca="false">Sheet9!L161-40</f>
        <v>400</v>
      </c>
    </row>
    <row r="163" customFormat="false" ht="13.8" hidden="false" customHeight="false" outlineLevel="0" collapsed="false">
      <c r="A163" s="0" t="n">
        <f aca="false">Sheet9!A162-40</f>
        <v>1880</v>
      </c>
      <c r="C163" s="0" t="str">
        <f aca="false">CONCATENATE("wget --header='Accept-Language: en-us,en;q=0.5' -T 600 http://127.0.0.1/karbitexchanges/bitcointalk/tambah_announcementaltcoin?halaman=",Sheet9!A163," --delete-after")</f>
        <v>wget --header='Accept-Language: en-us,en;q=0.5' -T 600 http://127.0.0.1/karbitexchanges/bitcointalk/tambah_announcementaltcoin?halaman=1880 --delete-after</v>
      </c>
      <c r="D163" s="0" t="str">
        <f aca="false">CONCATENATE("wget --header='Accept-Language: en-us,en;q=0.5' -T 600 http://127.0.0.1/karbitexchanges/bitcointalk/tambah_marketplacealtcoin?halaman=",Sheet9!L163," --delete-after")</f>
        <v>wget --header='Accept-Language: en-us,en;q=0.5' -T 600 http://127.0.0.1/karbitexchanges/bitcointalk/tambah_marketplacealtcoin?halaman=360 --delete-after</v>
      </c>
      <c r="E163" s="0" t="s">
        <v>405</v>
      </c>
      <c r="F163" s="0" t="s">
        <v>244</v>
      </c>
      <c r="L163" s="0" t="n">
        <f aca="false">Sheet9!L162-40</f>
        <v>360</v>
      </c>
    </row>
    <row r="164" customFormat="false" ht="13.8" hidden="false" customHeight="false" outlineLevel="0" collapsed="false">
      <c r="A164" s="0" t="n">
        <f aca="false">Sheet9!A163-40</f>
        <v>1840</v>
      </c>
      <c r="C164" s="0" t="str">
        <f aca="false">CONCATENATE("wget --header='Accept-Language: en-us,en;q=0.5' -T 600 http://127.0.0.1/karbitexchanges/bitcointalk/tambah_announcementaltcoin?halaman=",Sheet9!A164," --delete-after")</f>
        <v>wget --header='Accept-Language: en-us,en;q=0.5' -T 600 http://127.0.0.1/karbitexchanges/bitcointalk/tambah_announcementaltcoin?halaman=1840 --delete-after</v>
      </c>
      <c r="D164" s="0" t="str">
        <f aca="false">CONCATENATE("wget --header='Accept-Language: en-us,en;q=0.5' -T 600 http://127.0.0.1/karbitexchanges/bitcointalk/tambah_marketplacealtcoin?halaman=",Sheet9!L164," --delete-after")</f>
        <v>wget --header='Accept-Language: en-us,en;q=0.5' -T 600 http://127.0.0.1/karbitexchanges/bitcointalk/tambah_marketplacealtcoin?halaman=320 --delete-after</v>
      </c>
      <c r="E164" s="0" t="s">
        <v>406</v>
      </c>
      <c r="F164" s="0" t="s">
        <v>244</v>
      </c>
      <c r="L164" s="0" t="n">
        <f aca="false">Sheet9!L163-40</f>
        <v>320</v>
      </c>
    </row>
    <row r="165" customFormat="false" ht="13.8" hidden="false" customHeight="false" outlineLevel="0" collapsed="false">
      <c r="A165" s="0" t="n">
        <f aca="false">Sheet9!A164-40</f>
        <v>1800</v>
      </c>
      <c r="C165" s="0" t="str">
        <f aca="false">CONCATENATE("wget --header='Accept-Language: en-us,en;q=0.5' -T 600 http://127.0.0.1/karbitexchanges/bitcointalk/tambah_announcementaltcoin?halaman=",Sheet9!A165," --delete-after")</f>
        <v>wget --header='Accept-Language: en-us,en;q=0.5' -T 600 http://127.0.0.1/karbitexchanges/bitcointalk/tambah_announcementaltcoin?halaman=1800 --delete-after</v>
      </c>
      <c r="D165" s="0" t="str">
        <f aca="false">CONCATENATE("wget --header='Accept-Language: en-us,en;q=0.5' -T 600 http://127.0.0.1/karbitexchanges/bitcointalk/tambah_marketplacealtcoin?halaman=",Sheet9!L165," --delete-after")</f>
        <v>wget --header='Accept-Language: en-us,en;q=0.5' -T 600 http://127.0.0.1/karbitexchanges/bitcointalk/tambah_marketplacealtcoin?halaman=280 --delete-after</v>
      </c>
      <c r="E165" s="0" t="s">
        <v>407</v>
      </c>
      <c r="F165" s="0" t="s">
        <v>244</v>
      </c>
      <c r="L165" s="0" t="n">
        <f aca="false">Sheet9!L164-40</f>
        <v>280</v>
      </c>
    </row>
    <row r="166" customFormat="false" ht="13.8" hidden="false" customHeight="false" outlineLevel="0" collapsed="false">
      <c r="A166" s="0" t="n">
        <f aca="false">Sheet9!A165-40</f>
        <v>1760</v>
      </c>
      <c r="C166" s="0" t="str">
        <f aca="false">CONCATENATE("wget --header='Accept-Language: en-us,en;q=0.5' -T 600 http://127.0.0.1/karbitexchanges/bitcointalk/tambah_announcementaltcoin?halaman=",Sheet9!A166," --delete-after")</f>
        <v>wget --header='Accept-Language: en-us,en;q=0.5' -T 600 http://127.0.0.1/karbitexchanges/bitcointalk/tambah_announcementaltcoin?halaman=1760 --delete-after</v>
      </c>
      <c r="D166" s="0" t="str">
        <f aca="false">CONCATENATE("wget --header='Accept-Language: en-us,en;q=0.5' -T 600 http://127.0.0.1/karbitexchanges/bitcointalk/tambah_marketplacealtcoin?halaman=",Sheet9!L166," --delete-after")</f>
        <v>wget --header='Accept-Language: en-us,en;q=0.5' -T 600 http://127.0.0.1/karbitexchanges/bitcointalk/tambah_marketplacealtcoin?halaman=240 --delete-after</v>
      </c>
      <c r="E166" s="0" t="s">
        <v>408</v>
      </c>
      <c r="F166" s="0" t="s">
        <v>244</v>
      </c>
      <c r="L166" s="0" t="n">
        <f aca="false">Sheet9!L165-40</f>
        <v>240</v>
      </c>
    </row>
    <row r="167" customFormat="false" ht="13.8" hidden="false" customHeight="false" outlineLevel="0" collapsed="false">
      <c r="A167" s="0" t="n">
        <f aca="false">Sheet9!A166-40</f>
        <v>1720</v>
      </c>
      <c r="C167" s="0" t="str">
        <f aca="false">CONCATENATE("wget --header='Accept-Language: en-us,en;q=0.5' -T 600 http://127.0.0.1/karbitexchanges/bitcointalk/tambah_announcementaltcoin?halaman=",Sheet9!A167," --delete-after")</f>
        <v>wget --header='Accept-Language: en-us,en;q=0.5' -T 600 http://127.0.0.1/karbitexchanges/bitcointalk/tambah_announcementaltcoin?halaman=1720 --delete-after</v>
      </c>
      <c r="D167" s="0" t="str">
        <f aca="false">CONCATENATE("wget --header='Accept-Language: en-us,en;q=0.5' -T 600 http://127.0.0.1/karbitexchanges/bitcointalk/tambah_marketplacealtcoin?halaman=",Sheet9!L167," --delete-after")</f>
        <v>wget --header='Accept-Language: en-us,en;q=0.5' -T 600 http://127.0.0.1/karbitexchanges/bitcointalk/tambah_marketplacealtcoin?halaman=200 --delete-after</v>
      </c>
      <c r="E167" s="0" t="s">
        <v>409</v>
      </c>
      <c r="F167" s="0" t="s">
        <v>244</v>
      </c>
      <c r="L167" s="0" t="n">
        <f aca="false">Sheet9!L166-40</f>
        <v>200</v>
      </c>
    </row>
    <row r="168" customFormat="false" ht="13.8" hidden="false" customHeight="false" outlineLevel="0" collapsed="false">
      <c r="A168" s="0" t="n">
        <f aca="false">Sheet9!A167-40</f>
        <v>1680</v>
      </c>
      <c r="C168" s="0" t="str">
        <f aca="false">CONCATENATE("wget --header='Accept-Language: en-us,en;q=0.5' -T 600 http://127.0.0.1/karbitexchanges/bitcointalk/tambah_announcementaltcoin?halaman=",Sheet9!A168," --delete-after")</f>
        <v>wget --header='Accept-Language: en-us,en;q=0.5' -T 600 http://127.0.0.1/karbitexchanges/bitcointalk/tambah_announcementaltcoin?halaman=1680 --delete-after</v>
      </c>
      <c r="D168" s="0" t="str">
        <f aca="false">CONCATENATE("wget --header='Accept-Language: en-us,en;q=0.5' -T 600 http://127.0.0.1/karbitexchanges/bitcointalk/tambah_marketplacealtcoin?halaman=",Sheet9!L168," --delete-after")</f>
        <v>wget --header='Accept-Language: en-us,en;q=0.5' -T 600 http://127.0.0.1/karbitexchanges/bitcointalk/tambah_marketplacealtcoin?halaman=160 --delete-after</v>
      </c>
      <c r="E168" s="0" t="s">
        <v>410</v>
      </c>
      <c r="F168" s="0" t="s">
        <v>244</v>
      </c>
      <c r="L168" s="0" t="n">
        <f aca="false">Sheet9!L167-40</f>
        <v>160</v>
      </c>
    </row>
    <row r="169" customFormat="false" ht="13.8" hidden="false" customHeight="false" outlineLevel="0" collapsed="false">
      <c r="A169" s="0" t="n">
        <f aca="false">Sheet9!A168-40</f>
        <v>1640</v>
      </c>
      <c r="C169" s="0" t="str">
        <f aca="false">CONCATENATE("wget --header='Accept-Language: en-us,en;q=0.5' -T 600 http://127.0.0.1/karbitexchanges/bitcointalk/tambah_announcementaltcoin?halaman=",Sheet9!A169," --delete-after")</f>
        <v>wget --header='Accept-Language: en-us,en;q=0.5' -T 600 http://127.0.0.1/karbitexchanges/bitcointalk/tambah_announcementaltcoin?halaman=1640 --delete-after</v>
      </c>
      <c r="D169" s="0" t="str">
        <f aca="false">CONCATENATE("wget --header='Accept-Language: en-us,en;q=0.5' -T 600 http://127.0.0.1/karbitexchanges/bitcointalk/tambah_marketplacealtcoin?halaman=",Sheet9!L169," --delete-after")</f>
        <v>wget --header='Accept-Language: en-us,en;q=0.5' -T 600 http://127.0.0.1/karbitexchanges/bitcointalk/tambah_marketplacealtcoin?halaman=120 --delete-after</v>
      </c>
      <c r="E169" s="0" t="s">
        <v>411</v>
      </c>
      <c r="F169" s="0" t="s">
        <v>244</v>
      </c>
      <c r="L169" s="0" t="n">
        <f aca="false">Sheet9!L168-40</f>
        <v>120</v>
      </c>
    </row>
    <row r="170" customFormat="false" ht="13.8" hidden="false" customHeight="false" outlineLevel="0" collapsed="false">
      <c r="A170" s="0" t="n">
        <f aca="false">Sheet9!A169-40</f>
        <v>1600</v>
      </c>
      <c r="C170" s="0" t="str">
        <f aca="false">CONCATENATE("wget --header='Accept-Language: en-us,en;q=0.5' -T 600 http://127.0.0.1/karbitexchanges/bitcointalk/tambah_announcementaltcoin?halaman=",Sheet9!A170," --delete-after")</f>
        <v>wget --header='Accept-Language: en-us,en;q=0.5' -T 600 http://127.0.0.1/karbitexchanges/bitcointalk/tambah_announcementaltcoin?halaman=1600 --delete-after</v>
      </c>
      <c r="D170" s="0" t="str">
        <f aca="false">CONCATENATE("wget --header='Accept-Language: en-us,en;q=0.5' -T 600 http://127.0.0.1/karbitexchanges/bitcointalk/tambah_marketplacealtcoin?halaman=",Sheet9!L170," --delete-after")</f>
        <v>wget --header='Accept-Language: en-us,en;q=0.5' -T 600 http://127.0.0.1/karbitexchanges/bitcointalk/tambah_marketplacealtcoin?halaman=80 --delete-after</v>
      </c>
      <c r="E170" s="0" t="s">
        <v>412</v>
      </c>
      <c r="F170" s="0" t="s">
        <v>244</v>
      </c>
      <c r="L170" s="0" t="n">
        <f aca="false">Sheet9!L169-40</f>
        <v>80</v>
      </c>
    </row>
    <row r="171" customFormat="false" ht="13.8" hidden="false" customHeight="false" outlineLevel="0" collapsed="false">
      <c r="A171" s="0" t="n">
        <f aca="false">Sheet9!A170-40</f>
        <v>1560</v>
      </c>
      <c r="C171" s="0" t="str">
        <f aca="false">CONCATENATE("wget --header='Accept-Language: en-us,en;q=0.5' -T 600 http://127.0.0.1/karbitexchanges/bitcointalk/tambah_announcementaltcoin?halaman=",Sheet9!A171," --delete-after")</f>
        <v>wget --header='Accept-Language: en-us,en;q=0.5' -T 600 http://127.0.0.1/karbitexchanges/bitcointalk/tambah_announcementaltcoin?halaman=1560 --delete-after</v>
      </c>
      <c r="D171" s="0" t="str">
        <f aca="false">CONCATENATE("wget --header='Accept-Language: en-us,en;q=0.5' -T 600 http://127.0.0.1/karbitexchanges/bitcointalk/tambah_marketplacealtcoin?halaman=",Sheet9!L171," --delete-after")</f>
        <v>wget --header='Accept-Language: en-us,en;q=0.5' -T 600 http://127.0.0.1/karbitexchanges/bitcointalk/tambah_marketplacealtcoin?halaman=40 --delete-after</v>
      </c>
      <c r="E171" s="0" t="s">
        <v>413</v>
      </c>
      <c r="F171" s="0" t="s">
        <v>244</v>
      </c>
      <c r="L171" s="0" t="n">
        <f aca="false">Sheet9!L170-40</f>
        <v>40</v>
      </c>
    </row>
    <row r="172" customFormat="false" ht="13.8" hidden="false" customHeight="false" outlineLevel="0" collapsed="false">
      <c r="A172" s="0" t="n">
        <f aca="false">Sheet9!A171-40</f>
        <v>1520</v>
      </c>
      <c r="C172" s="0" t="str">
        <f aca="false">CONCATENATE("wget --header='Accept-Language: en-us,en;q=0.5' -T 600 http://127.0.0.1/karbitexchanges/bitcointalk/tambah_announcementaltcoin?halaman=",Sheet9!A172," --delete-after")</f>
        <v>wget --header='Accept-Language: en-us,en;q=0.5' -T 600 http://127.0.0.1/karbitexchanges/bitcointalk/tambah_announcementaltcoin?halaman=1520 --delete-after</v>
      </c>
      <c r="D172" s="0" t="str">
        <f aca="false">CONCATENATE("wget --header='Accept-Language: en-us,en;q=0.5' -T 600 http://127.0.0.1/karbitexchanges/bitcointalk/tambah_marketplacealtcoin?halaman=",Sheet9!L172," --delete-after")</f>
        <v>wget --header='Accept-Language: en-us,en;q=0.5' -T 600 http://127.0.0.1/karbitexchanges/bitcointalk/tambah_marketplacealtcoin?halaman=0 --delete-after</v>
      </c>
      <c r="E172" s="0" t="s">
        <v>414</v>
      </c>
      <c r="F172" s="0" t="s">
        <v>244</v>
      </c>
      <c r="L172" s="0" t="n">
        <f aca="false">Sheet9!L171-40</f>
        <v>0</v>
      </c>
    </row>
    <row r="173" customFormat="false" ht="13.8" hidden="false" customHeight="false" outlineLevel="0" collapsed="false">
      <c r="A173" s="0" t="n">
        <f aca="false">Sheet9!A172-40</f>
        <v>1480</v>
      </c>
      <c r="C173" s="0" t="str">
        <f aca="false">CONCATENATE("wget --header='Accept-Language: en-us,en;q=0.5' -T 600 http://127.0.0.1/karbitexchanges/bitcointalk/tambah_announcementaltcoin?halaman=",Sheet9!A173," --delete-after")</f>
        <v>wget --header='Accept-Language: en-us,en;q=0.5' -T 600 http://127.0.0.1/karbitexchanges/bitcointalk/tambah_announcementaltcoin?halaman=1480 --delete-after</v>
      </c>
      <c r="F173" s="0" t="s">
        <v>244</v>
      </c>
    </row>
    <row r="174" customFormat="false" ht="13.8" hidden="false" customHeight="false" outlineLevel="0" collapsed="false">
      <c r="A174" s="0" t="n">
        <f aca="false">Sheet9!A173-40</f>
        <v>1440</v>
      </c>
      <c r="C174" s="0" t="str">
        <f aca="false">CONCATENATE("wget --header='Accept-Language: en-us,en;q=0.5' -T 600 http://127.0.0.1/karbitexchanges/bitcointalk/tambah_announcementaltcoin?halaman=",Sheet9!A174," --delete-after")</f>
        <v>wget --header='Accept-Language: en-us,en;q=0.5' -T 600 http://127.0.0.1/karbitexchanges/bitcointalk/tambah_announcementaltcoin?halaman=1440 --delete-after</v>
      </c>
      <c r="F174" s="0" t="s">
        <v>244</v>
      </c>
    </row>
    <row r="175" customFormat="false" ht="13.8" hidden="false" customHeight="false" outlineLevel="0" collapsed="false">
      <c r="A175" s="0" t="n">
        <f aca="false">Sheet9!A174-40</f>
        <v>1400</v>
      </c>
      <c r="C175" s="0" t="str">
        <f aca="false">CONCATENATE("wget --header='Accept-Language: en-us,en;q=0.5' -T 600 http://127.0.0.1/karbitexchanges/bitcointalk/tambah_announcementaltcoin?halaman=",Sheet9!A175," --delete-after")</f>
        <v>wget --header='Accept-Language: en-us,en;q=0.5' -T 600 http://127.0.0.1/karbitexchanges/bitcointalk/tambah_announcementaltcoin?halaman=1400 --delete-after</v>
      </c>
      <c r="F175" s="0" t="s">
        <v>244</v>
      </c>
    </row>
    <row r="176" customFormat="false" ht="13.8" hidden="false" customHeight="false" outlineLevel="0" collapsed="false">
      <c r="A176" s="0" t="n">
        <f aca="false">Sheet9!A175-40</f>
        <v>1360</v>
      </c>
      <c r="C176" s="0" t="str">
        <f aca="false">CONCATENATE("wget --header='Accept-Language: en-us,en;q=0.5' -T 600 http://127.0.0.1/karbitexchanges/bitcointalk/tambah_announcementaltcoin?halaman=",Sheet9!A176," --delete-after")</f>
        <v>wget --header='Accept-Language: en-us,en;q=0.5' -T 600 http://127.0.0.1/karbitexchanges/bitcointalk/tambah_announcementaltcoin?halaman=1360 --delete-after</v>
      </c>
      <c r="F176" s="0" t="s">
        <v>244</v>
      </c>
    </row>
    <row r="177" customFormat="false" ht="13.8" hidden="false" customHeight="false" outlineLevel="0" collapsed="false">
      <c r="A177" s="0" t="n">
        <f aca="false">Sheet9!A176-40</f>
        <v>1320</v>
      </c>
      <c r="C177" s="0" t="str">
        <f aca="false">CONCATENATE("wget --header='Accept-Language: en-us,en;q=0.5' -T 600 http://127.0.0.1/karbitexchanges/bitcointalk/tambah_announcementaltcoin?halaman=",Sheet9!A177," --delete-after")</f>
        <v>wget --header='Accept-Language: en-us,en;q=0.5' -T 600 http://127.0.0.1/karbitexchanges/bitcointalk/tambah_announcementaltcoin?halaman=1320 --delete-after</v>
      </c>
      <c r="F177" s="0" t="s">
        <v>244</v>
      </c>
    </row>
    <row r="178" customFormat="false" ht="13.8" hidden="false" customHeight="false" outlineLevel="0" collapsed="false">
      <c r="A178" s="0" t="n">
        <f aca="false">Sheet9!A177-40</f>
        <v>1280</v>
      </c>
      <c r="C178" s="0" t="str">
        <f aca="false">CONCATENATE("wget --header='Accept-Language: en-us,en;q=0.5' -T 600 http://127.0.0.1/karbitexchanges/bitcointalk/tambah_announcementaltcoin?halaman=",Sheet9!A178," --delete-after")</f>
        <v>wget --header='Accept-Language: en-us,en;q=0.5' -T 600 http://127.0.0.1/karbitexchanges/bitcointalk/tambah_announcementaltcoin?halaman=1280 --delete-after</v>
      </c>
      <c r="F178" s="0" t="s">
        <v>244</v>
      </c>
    </row>
    <row r="179" customFormat="false" ht="13.8" hidden="false" customHeight="false" outlineLevel="0" collapsed="false">
      <c r="A179" s="0" t="n">
        <f aca="false">Sheet9!A178-40</f>
        <v>1240</v>
      </c>
      <c r="C179" s="0" t="str">
        <f aca="false">CONCATENATE("wget --header='Accept-Language: en-us,en;q=0.5' -T 600 http://127.0.0.1/karbitexchanges/bitcointalk/tambah_announcementaltcoin?halaman=",Sheet9!A179," --delete-after")</f>
        <v>wget --header='Accept-Language: en-us,en;q=0.5' -T 600 http://127.0.0.1/karbitexchanges/bitcointalk/tambah_announcementaltcoin?halaman=1240 --delete-after</v>
      </c>
      <c r="F179" s="0" t="s">
        <v>244</v>
      </c>
    </row>
    <row r="180" customFormat="false" ht="13.8" hidden="false" customHeight="false" outlineLevel="0" collapsed="false">
      <c r="A180" s="0" t="n">
        <f aca="false">Sheet9!A179-40</f>
        <v>1200</v>
      </c>
      <c r="C180" s="0" t="str">
        <f aca="false">CONCATENATE("wget --header='Accept-Language: en-us,en;q=0.5' -T 600 http://127.0.0.1/karbitexchanges/bitcointalk/tambah_announcementaltcoin?halaman=",Sheet9!A180," --delete-after")</f>
        <v>wget --header='Accept-Language: en-us,en;q=0.5' -T 600 http://127.0.0.1/karbitexchanges/bitcointalk/tambah_announcementaltcoin?halaman=1200 --delete-after</v>
      </c>
      <c r="F180" s="0" t="s">
        <v>244</v>
      </c>
    </row>
    <row r="181" customFormat="false" ht="13.8" hidden="false" customHeight="false" outlineLevel="0" collapsed="false">
      <c r="A181" s="0" t="n">
        <f aca="false">Sheet9!A180-40</f>
        <v>1160</v>
      </c>
      <c r="C181" s="0" t="str">
        <f aca="false">CONCATENATE("wget --header='Accept-Language: en-us,en;q=0.5' -T 600 http://127.0.0.1/karbitexchanges/bitcointalk/tambah_announcementaltcoin?halaman=",Sheet9!A181," --delete-after")</f>
        <v>wget --header='Accept-Language: en-us,en;q=0.5' -T 600 http://127.0.0.1/karbitexchanges/bitcointalk/tambah_announcementaltcoin?halaman=1160 --delete-after</v>
      </c>
      <c r="F181" s="0" t="s">
        <v>244</v>
      </c>
    </row>
    <row r="182" customFormat="false" ht="13.8" hidden="false" customHeight="false" outlineLevel="0" collapsed="false">
      <c r="A182" s="0" t="n">
        <f aca="false">Sheet9!A181-40</f>
        <v>1120</v>
      </c>
      <c r="C182" s="0" t="str">
        <f aca="false">CONCATENATE("wget --header='Accept-Language: en-us,en;q=0.5' -T 600 http://127.0.0.1/karbitexchanges/bitcointalk/tambah_announcementaltcoin?halaman=",Sheet9!A182," --delete-after")</f>
        <v>wget --header='Accept-Language: en-us,en;q=0.5' -T 600 http://127.0.0.1/karbitexchanges/bitcointalk/tambah_announcementaltcoin?halaman=1120 --delete-after</v>
      </c>
      <c r="F182" s="0" t="s">
        <v>244</v>
      </c>
    </row>
    <row r="183" customFormat="false" ht="13.8" hidden="false" customHeight="false" outlineLevel="0" collapsed="false">
      <c r="A183" s="0" t="n">
        <f aca="false">Sheet9!A182-40</f>
        <v>1080</v>
      </c>
      <c r="C183" s="0" t="str">
        <f aca="false">CONCATENATE("wget --header='Accept-Language: en-us,en;q=0.5' -T 600 http://127.0.0.1/karbitexchanges/bitcointalk/tambah_announcementaltcoin?halaman=",Sheet9!A183," --delete-after")</f>
        <v>wget --header='Accept-Language: en-us,en;q=0.5' -T 600 http://127.0.0.1/karbitexchanges/bitcointalk/tambah_announcementaltcoin?halaman=1080 --delete-after</v>
      </c>
      <c r="F183" s="0" t="s">
        <v>244</v>
      </c>
    </row>
    <row r="184" customFormat="false" ht="13.8" hidden="false" customHeight="false" outlineLevel="0" collapsed="false">
      <c r="A184" s="0" t="n">
        <f aca="false">Sheet9!A183-40</f>
        <v>1040</v>
      </c>
      <c r="C184" s="0" t="str">
        <f aca="false">CONCATENATE("wget --header='Accept-Language: en-us,en;q=0.5' -T 600 http://127.0.0.1/karbitexchanges/bitcointalk/tambah_announcementaltcoin?halaman=",Sheet9!A184," --delete-after")</f>
        <v>wget --header='Accept-Language: en-us,en;q=0.5' -T 600 http://127.0.0.1/karbitexchanges/bitcointalk/tambah_announcementaltcoin?halaman=1040 --delete-after</v>
      </c>
      <c r="F184" s="0" t="s">
        <v>244</v>
      </c>
    </row>
    <row r="185" customFormat="false" ht="13.8" hidden="false" customHeight="false" outlineLevel="0" collapsed="false">
      <c r="A185" s="0" t="n">
        <f aca="false">Sheet9!A184-40</f>
        <v>1000</v>
      </c>
      <c r="C185" s="0" t="str">
        <f aca="false">CONCATENATE("wget --header='Accept-Language: en-us,en;q=0.5' -T 600 http://127.0.0.1/karbitexchanges/bitcointalk/tambah_announcementaltcoin?halaman=",Sheet9!A185," --delete-after")</f>
        <v>wget --header='Accept-Language: en-us,en;q=0.5' -T 600 http://127.0.0.1/karbitexchanges/bitcointalk/tambah_announcementaltcoin?halaman=1000 --delete-after</v>
      </c>
      <c r="F185" s="0" t="s">
        <v>244</v>
      </c>
    </row>
    <row r="186" customFormat="false" ht="13.8" hidden="false" customHeight="false" outlineLevel="0" collapsed="false">
      <c r="A186" s="0" t="n">
        <f aca="false">Sheet9!A185-40</f>
        <v>960</v>
      </c>
      <c r="C186" s="0" t="str">
        <f aca="false">CONCATENATE("wget --header='Accept-Language: en-us,en;q=0.5' -T 600 http://127.0.0.1/karbitexchanges/bitcointalk/tambah_announcementaltcoin?halaman=",Sheet9!A186," --delete-after")</f>
        <v>wget --header='Accept-Language: en-us,en;q=0.5' -T 600 http://127.0.0.1/karbitexchanges/bitcointalk/tambah_announcementaltcoin?halaman=960 --delete-after</v>
      </c>
      <c r="F186" s="0" t="s">
        <v>244</v>
      </c>
    </row>
    <row r="187" customFormat="false" ht="13.8" hidden="false" customHeight="false" outlineLevel="0" collapsed="false">
      <c r="A187" s="0" t="n">
        <f aca="false">Sheet9!A186-40</f>
        <v>920</v>
      </c>
      <c r="C187" s="0" t="str">
        <f aca="false">CONCATENATE("wget --header='Accept-Language: en-us,en;q=0.5' -T 600 http://127.0.0.1/karbitexchanges/bitcointalk/tambah_announcementaltcoin?halaman=",Sheet9!A187," --delete-after")</f>
        <v>wget --header='Accept-Language: en-us,en;q=0.5' -T 600 http://127.0.0.1/karbitexchanges/bitcointalk/tambah_announcementaltcoin?halaman=920 --delete-after</v>
      </c>
      <c r="F187" s="0" t="s">
        <v>244</v>
      </c>
    </row>
    <row r="188" customFormat="false" ht="13.8" hidden="false" customHeight="false" outlineLevel="0" collapsed="false">
      <c r="A188" s="0" t="n">
        <f aca="false">Sheet9!A187-40</f>
        <v>880</v>
      </c>
      <c r="C188" s="0" t="str">
        <f aca="false">CONCATENATE("wget --header='Accept-Language: en-us,en;q=0.5' -T 600 http://127.0.0.1/karbitexchanges/bitcointalk/tambah_announcementaltcoin?halaman=",Sheet9!A188," --delete-after")</f>
        <v>wget --header='Accept-Language: en-us,en;q=0.5' -T 600 http://127.0.0.1/karbitexchanges/bitcointalk/tambah_announcementaltcoin?halaman=880 --delete-after</v>
      </c>
      <c r="F188" s="0" t="s">
        <v>244</v>
      </c>
    </row>
    <row r="189" customFormat="false" ht="13.8" hidden="false" customHeight="false" outlineLevel="0" collapsed="false">
      <c r="A189" s="0" t="n">
        <f aca="false">Sheet9!A188-40</f>
        <v>840</v>
      </c>
      <c r="C189" s="0" t="str">
        <f aca="false">CONCATENATE("wget --header='Accept-Language: en-us,en;q=0.5' -T 600 http://127.0.0.1/karbitexchanges/bitcointalk/tambah_announcementaltcoin?halaman=",Sheet9!A189," --delete-after")</f>
        <v>wget --header='Accept-Language: en-us,en;q=0.5' -T 600 http://127.0.0.1/karbitexchanges/bitcointalk/tambah_announcementaltcoin?halaman=840 --delete-after</v>
      </c>
      <c r="F189" s="0" t="s">
        <v>244</v>
      </c>
    </row>
    <row r="190" customFormat="false" ht="13.8" hidden="false" customHeight="false" outlineLevel="0" collapsed="false">
      <c r="A190" s="0" t="n">
        <f aca="false">Sheet9!A189-40</f>
        <v>800</v>
      </c>
      <c r="C190" s="0" t="str">
        <f aca="false">CONCATENATE("wget --header='Accept-Language: en-us,en;q=0.5' -T 600 http://127.0.0.1/karbitexchanges/bitcointalk/tambah_announcementaltcoin?halaman=",Sheet9!A190," --delete-after")</f>
        <v>wget --header='Accept-Language: en-us,en;q=0.5' -T 600 http://127.0.0.1/karbitexchanges/bitcointalk/tambah_announcementaltcoin?halaman=800 --delete-after</v>
      </c>
      <c r="F190" s="0" t="s">
        <v>244</v>
      </c>
    </row>
    <row r="191" customFormat="false" ht="13.8" hidden="false" customHeight="false" outlineLevel="0" collapsed="false">
      <c r="A191" s="0" t="n">
        <f aca="false">Sheet9!A190-40</f>
        <v>760</v>
      </c>
      <c r="C191" s="0" t="str">
        <f aca="false">CONCATENATE("wget --header='Accept-Language: en-us,en;q=0.5' -T 600 http://127.0.0.1/karbitexchanges/bitcointalk/tambah_announcementaltcoin?halaman=",Sheet9!A191," --delete-after")</f>
        <v>wget --header='Accept-Language: en-us,en;q=0.5' -T 600 http://127.0.0.1/karbitexchanges/bitcointalk/tambah_announcementaltcoin?halaman=760 --delete-after</v>
      </c>
      <c r="F191" s="0" t="s">
        <v>244</v>
      </c>
    </row>
    <row r="192" customFormat="false" ht="13.8" hidden="false" customHeight="false" outlineLevel="0" collapsed="false">
      <c r="A192" s="0" t="n">
        <f aca="false">Sheet9!A191-40</f>
        <v>720</v>
      </c>
      <c r="C192" s="0" t="str">
        <f aca="false">CONCATENATE("wget --header='Accept-Language: en-us,en;q=0.5' -T 600 http://127.0.0.1/karbitexchanges/bitcointalk/tambah_announcementaltcoin?halaman=",Sheet9!A192," --delete-after")</f>
        <v>wget --header='Accept-Language: en-us,en;q=0.5' -T 600 http://127.0.0.1/karbitexchanges/bitcointalk/tambah_announcementaltcoin?halaman=720 --delete-after</v>
      </c>
      <c r="F192" s="0" t="s">
        <v>244</v>
      </c>
    </row>
    <row r="193" customFormat="false" ht="13.8" hidden="false" customHeight="false" outlineLevel="0" collapsed="false">
      <c r="A193" s="0" t="n">
        <f aca="false">Sheet9!A192-40</f>
        <v>680</v>
      </c>
      <c r="C193" s="0" t="str">
        <f aca="false">CONCATENATE("wget --header='Accept-Language: en-us,en;q=0.5' -T 600 http://127.0.0.1/karbitexchanges/bitcointalk/tambah_announcementaltcoin?halaman=",Sheet9!A193," --delete-after")</f>
        <v>wget --header='Accept-Language: en-us,en;q=0.5' -T 600 http://127.0.0.1/karbitexchanges/bitcointalk/tambah_announcementaltcoin?halaman=680 --delete-after</v>
      </c>
      <c r="F193" s="0" t="s">
        <v>244</v>
      </c>
    </row>
    <row r="194" customFormat="false" ht="13.8" hidden="false" customHeight="false" outlineLevel="0" collapsed="false">
      <c r="A194" s="0" t="n">
        <f aca="false">Sheet9!A193-40</f>
        <v>640</v>
      </c>
      <c r="C194" s="0" t="str">
        <f aca="false">CONCATENATE("wget --header='Accept-Language: en-us,en;q=0.5' -T 600 http://127.0.0.1/karbitexchanges/bitcointalk/tambah_announcementaltcoin?halaman=",Sheet9!A194," --delete-after")</f>
        <v>wget --header='Accept-Language: en-us,en;q=0.5' -T 600 http://127.0.0.1/karbitexchanges/bitcointalk/tambah_announcementaltcoin?halaman=640 --delete-after</v>
      </c>
      <c r="F194" s="0" t="s">
        <v>244</v>
      </c>
    </row>
    <row r="195" customFormat="false" ht="13.8" hidden="false" customHeight="false" outlineLevel="0" collapsed="false">
      <c r="A195" s="0" t="n">
        <f aca="false">Sheet9!A194-40</f>
        <v>600</v>
      </c>
      <c r="C195" s="0" t="str">
        <f aca="false">CONCATENATE("wget --header='Accept-Language: en-us,en;q=0.5' -T 600 http://127.0.0.1/karbitexchanges/bitcointalk/tambah_announcementaltcoin?halaman=",Sheet9!A195," --delete-after")</f>
        <v>wget --header='Accept-Language: en-us,en;q=0.5' -T 600 http://127.0.0.1/karbitexchanges/bitcointalk/tambah_announcementaltcoin?halaman=600 --delete-after</v>
      </c>
      <c r="F195" s="0" t="s">
        <v>244</v>
      </c>
    </row>
    <row r="196" customFormat="false" ht="13.8" hidden="false" customHeight="false" outlineLevel="0" collapsed="false">
      <c r="A196" s="0" t="n">
        <f aca="false">Sheet9!A195-40</f>
        <v>560</v>
      </c>
      <c r="C196" s="0" t="str">
        <f aca="false">CONCATENATE("wget --header='Accept-Language: en-us,en;q=0.5' -T 600 http://127.0.0.1/karbitexchanges/bitcointalk/tambah_announcementaltcoin?halaman=",Sheet9!A196," --delete-after")</f>
        <v>wget --header='Accept-Language: en-us,en;q=0.5' -T 600 http://127.0.0.1/karbitexchanges/bitcointalk/tambah_announcementaltcoin?halaman=560 --delete-after</v>
      </c>
      <c r="F196" s="0" t="s">
        <v>244</v>
      </c>
    </row>
    <row r="197" customFormat="false" ht="13.8" hidden="false" customHeight="false" outlineLevel="0" collapsed="false">
      <c r="A197" s="0" t="n">
        <f aca="false">Sheet9!A196-40</f>
        <v>520</v>
      </c>
      <c r="C197" s="0" t="str">
        <f aca="false">CONCATENATE("wget --header='Accept-Language: en-us,en;q=0.5' -T 600 http://127.0.0.1/karbitexchanges/bitcointalk/tambah_announcementaltcoin?halaman=",Sheet9!A197," --delete-after")</f>
        <v>wget --header='Accept-Language: en-us,en;q=0.5' -T 600 http://127.0.0.1/karbitexchanges/bitcointalk/tambah_announcementaltcoin?halaman=520 --delete-after</v>
      </c>
      <c r="F197" s="0" t="s">
        <v>244</v>
      </c>
    </row>
    <row r="198" customFormat="false" ht="13.8" hidden="false" customHeight="false" outlineLevel="0" collapsed="false">
      <c r="A198" s="0" t="n">
        <f aca="false">Sheet9!A197-40</f>
        <v>480</v>
      </c>
      <c r="C198" s="0" t="str">
        <f aca="false">CONCATENATE("wget --header='Accept-Language: en-us,en;q=0.5' -T 600 http://127.0.0.1/karbitexchanges/bitcointalk/tambah_announcementaltcoin?halaman=",Sheet9!A198," --delete-after")</f>
        <v>wget --header='Accept-Language: en-us,en;q=0.5' -T 600 http://127.0.0.1/karbitexchanges/bitcointalk/tambah_announcementaltcoin?halaman=480 --delete-after</v>
      </c>
      <c r="F198" s="0" t="s">
        <v>244</v>
      </c>
    </row>
    <row r="199" customFormat="false" ht="13.8" hidden="false" customHeight="false" outlineLevel="0" collapsed="false">
      <c r="A199" s="0" t="n">
        <f aca="false">Sheet9!A198-40</f>
        <v>440</v>
      </c>
      <c r="C199" s="0" t="str">
        <f aca="false">CONCATENATE("wget --header='Accept-Language: en-us,en;q=0.5' -T 600 http://127.0.0.1/karbitexchanges/bitcointalk/tambah_announcementaltcoin?halaman=",Sheet9!A199," --delete-after")</f>
        <v>wget --header='Accept-Language: en-us,en;q=0.5' -T 600 http://127.0.0.1/karbitexchanges/bitcointalk/tambah_announcementaltcoin?halaman=440 --delete-after</v>
      </c>
      <c r="F199" s="0" t="s">
        <v>244</v>
      </c>
    </row>
    <row r="200" customFormat="false" ht="13.8" hidden="false" customHeight="false" outlineLevel="0" collapsed="false">
      <c r="A200" s="0" t="n">
        <f aca="false">Sheet9!A199-40</f>
        <v>400</v>
      </c>
      <c r="C200" s="0" t="str">
        <f aca="false">CONCATENATE("wget --header='Accept-Language: en-us,en;q=0.5' -T 600 http://127.0.0.1/karbitexchanges/bitcointalk/tambah_announcementaltcoin?halaman=",Sheet9!A200," --delete-after")</f>
        <v>wget --header='Accept-Language: en-us,en;q=0.5' -T 600 http://127.0.0.1/karbitexchanges/bitcointalk/tambah_announcementaltcoin?halaman=400 --delete-after</v>
      </c>
      <c r="F200" s="0" t="s">
        <v>244</v>
      </c>
    </row>
    <row r="201" customFormat="false" ht="13.8" hidden="false" customHeight="false" outlineLevel="0" collapsed="false">
      <c r="A201" s="0" t="n">
        <f aca="false">Sheet9!A200-40</f>
        <v>360</v>
      </c>
      <c r="C201" s="0" t="str">
        <f aca="false">CONCATENATE("wget --header='Accept-Language: en-us,en;q=0.5' -T 600 http://127.0.0.1/karbitexchanges/bitcointalk/tambah_announcementaltcoin?halaman=",Sheet9!A201," --delete-after")</f>
        <v>wget --header='Accept-Language: en-us,en;q=0.5' -T 600 http://127.0.0.1/karbitexchanges/bitcointalk/tambah_announcementaltcoin?halaman=360 --delete-after</v>
      </c>
      <c r="F201" s="0" t="s">
        <v>244</v>
      </c>
    </row>
    <row r="202" customFormat="false" ht="13.8" hidden="false" customHeight="false" outlineLevel="0" collapsed="false">
      <c r="A202" s="0" t="n">
        <f aca="false">Sheet9!A201-40</f>
        <v>320</v>
      </c>
      <c r="C202" s="0" t="str">
        <f aca="false">CONCATENATE("wget --header='Accept-Language: en-us,en;q=0.5' -T 600 http://127.0.0.1/karbitexchanges/bitcointalk/tambah_announcementaltcoin?halaman=",Sheet9!A202," --delete-after")</f>
        <v>wget --header='Accept-Language: en-us,en;q=0.5' -T 600 http://127.0.0.1/karbitexchanges/bitcointalk/tambah_announcementaltcoin?halaman=320 --delete-after</v>
      </c>
      <c r="F202" s="0" t="s">
        <v>244</v>
      </c>
    </row>
    <row r="203" customFormat="false" ht="13.8" hidden="false" customHeight="false" outlineLevel="0" collapsed="false">
      <c r="A203" s="0" t="n">
        <f aca="false">Sheet9!A202-40</f>
        <v>280</v>
      </c>
      <c r="C203" s="0" t="str">
        <f aca="false">CONCATENATE("wget --header='Accept-Language: en-us,en;q=0.5' -T 600 http://127.0.0.1/karbitexchanges/bitcointalk/tambah_announcementaltcoin?halaman=",Sheet9!A203," --delete-after")</f>
        <v>wget --header='Accept-Language: en-us,en;q=0.5' -T 600 http://127.0.0.1/karbitexchanges/bitcointalk/tambah_announcementaltcoin?halaman=280 --delete-after</v>
      </c>
      <c r="F203" s="0" t="s">
        <v>244</v>
      </c>
    </row>
    <row r="204" customFormat="false" ht="13.8" hidden="false" customHeight="false" outlineLevel="0" collapsed="false">
      <c r="A204" s="0" t="n">
        <f aca="false">Sheet9!A203-40</f>
        <v>240</v>
      </c>
      <c r="C204" s="0" t="str">
        <f aca="false">CONCATENATE("wget --header='Accept-Language: en-us,en;q=0.5' -T 600 http://127.0.0.1/karbitexchanges/bitcointalk/tambah_announcementaltcoin?halaman=",Sheet9!A204," --delete-after")</f>
        <v>wget --header='Accept-Language: en-us,en;q=0.5' -T 600 http://127.0.0.1/karbitexchanges/bitcointalk/tambah_announcementaltcoin?halaman=240 --delete-after</v>
      </c>
      <c r="F204" s="0" t="s">
        <v>244</v>
      </c>
    </row>
    <row r="205" customFormat="false" ht="13.8" hidden="false" customHeight="false" outlineLevel="0" collapsed="false">
      <c r="A205" s="0" t="n">
        <f aca="false">Sheet9!A204-40</f>
        <v>200</v>
      </c>
      <c r="C205" s="0" t="str">
        <f aca="false">CONCATENATE("wget --header='Accept-Language: en-us,en;q=0.5' -T 600 http://127.0.0.1/karbitexchanges/bitcointalk/tambah_announcementaltcoin?halaman=",Sheet9!A205," --delete-after")</f>
        <v>wget --header='Accept-Language: en-us,en;q=0.5' -T 600 http://127.0.0.1/karbitexchanges/bitcointalk/tambah_announcementaltcoin?halaman=200 --delete-after</v>
      </c>
      <c r="F205" s="0" t="s">
        <v>244</v>
      </c>
    </row>
    <row r="206" customFormat="false" ht="13.8" hidden="false" customHeight="false" outlineLevel="0" collapsed="false">
      <c r="A206" s="0" t="n">
        <f aca="false">Sheet9!A205-40</f>
        <v>160</v>
      </c>
      <c r="C206" s="0" t="str">
        <f aca="false">CONCATENATE("wget --header='Accept-Language: en-us,en;q=0.5' -T 600 http://127.0.0.1/karbitexchanges/bitcointalk/tambah_announcementaltcoin?halaman=",Sheet9!A206," --delete-after")</f>
        <v>wget --header='Accept-Language: en-us,en;q=0.5' -T 600 http://127.0.0.1/karbitexchanges/bitcointalk/tambah_announcementaltcoin?halaman=160 --delete-after</v>
      </c>
      <c r="F206" s="0" t="s">
        <v>244</v>
      </c>
    </row>
    <row r="207" customFormat="false" ht="13.8" hidden="false" customHeight="false" outlineLevel="0" collapsed="false">
      <c r="A207" s="0" t="n">
        <f aca="false">Sheet9!A206-40</f>
        <v>120</v>
      </c>
      <c r="C207" s="0" t="str">
        <f aca="false">CONCATENATE("wget --header='Accept-Language: en-us,en;q=0.5' -T 600 http://127.0.0.1/karbitexchanges/bitcointalk/tambah_announcementaltcoin?halaman=",Sheet9!A207," --delete-after")</f>
        <v>wget --header='Accept-Language: en-us,en;q=0.5' -T 600 http://127.0.0.1/karbitexchanges/bitcointalk/tambah_announcementaltcoin?halaman=120 --delete-after</v>
      </c>
      <c r="F207" s="0" t="s">
        <v>244</v>
      </c>
    </row>
    <row r="208" customFormat="false" ht="13.8" hidden="false" customHeight="false" outlineLevel="0" collapsed="false">
      <c r="A208" s="0" t="n">
        <f aca="false">Sheet9!A207-40</f>
        <v>80</v>
      </c>
      <c r="C208" s="0" t="str">
        <f aca="false">CONCATENATE("wget --header='Accept-Language: en-us,en;q=0.5' -T 600 http://127.0.0.1/karbitexchanges/bitcointalk/tambah_announcementaltcoin?halaman=",Sheet9!A208," --delete-after")</f>
        <v>wget --header='Accept-Language: en-us,en;q=0.5' -T 600 http://127.0.0.1/karbitexchanges/bitcointalk/tambah_announcementaltcoin?halaman=80 --delete-after</v>
      </c>
      <c r="F208" s="0" t="s">
        <v>244</v>
      </c>
    </row>
    <row r="209" customFormat="false" ht="13.8" hidden="false" customHeight="false" outlineLevel="0" collapsed="false">
      <c r="A209" s="0" t="n">
        <f aca="false">Sheet9!A208-40</f>
        <v>40</v>
      </c>
      <c r="C209" s="0" t="str">
        <f aca="false">CONCATENATE("wget --header='Accept-Language: en-us,en;q=0.5' -T 600 http://127.0.0.1/karbitexchanges/bitcointalk/tambah_announcementaltcoin?halaman=",Sheet9!A209," --delete-after")</f>
        <v>wget --header='Accept-Language: en-us,en;q=0.5' -T 600 http://127.0.0.1/karbitexchanges/bitcointalk/tambah_announcementaltcoin?halaman=40 --delete-after</v>
      </c>
      <c r="F209" s="0" t="s">
        <v>244</v>
      </c>
    </row>
    <row r="210" customFormat="false" ht="13.8" hidden="false" customHeight="false" outlineLevel="0" collapsed="false">
      <c r="A210" s="0" t="n">
        <f aca="false">Sheet9!A209-40</f>
        <v>0</v>
      </c>
      <c r="C210" s="0" t="str">
        <f aca="false">CONCATENATE("wget --header='Accept-Language: en-us,en;q=0.5' -T 600 http://127.0.0.1/karbitexchanges/bitcointalk/tambah_announcementaltcoin?halaman=",Sheet9!A210," --delete-after")</f>
        <v>wget --header='Accept-Language: en-us,en;q=0.5' -T 600 http://127.0.0.1/karbitexchanges/bitcointalk/tambah_announcementaltcoin?halaman=0 --delete-after</v>
      </c>
      <c r="F210" s="0" t="s">
        <v>244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rstPageNumber="0" fitToWidth="1" fitToHeight="1" pageOrder="downThenOver" orientation="portrait" usePrinterDefaults="false" blackAndWhite="false" draft="false" cellComments="none" useFirstPageNumber="fals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1403</TotalTime>
  <Application>LibreOffice/5.0.3.2$Linux_X86_64 LibreOffice_project/00m0$Build-2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2016-02-04T20:03:14Z</dcterms:created>
  <dc:creator>bashnet</dc:creator>
  <dc:language>en-US</dc:language>
  <cp:lastModifiedBy>root </cp:lastModifiedBy>
  <dcterms:modified xsi:type="dcterms:W3CDTF">2017-07-12T18:51:54Z</dcterms:modified>
  <cp:revision>39</cp:revision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DocSecurity">
    <vt:i4>0</vt:i4>
  </property>
  <property fmtid="{D5CDD505-2E9C-101B-9397-08002B2CF9AE}" pid="4" name="HyperlinksChanged">
    <vt:bool>0</vt:bool>
  </property>
  <property fmtid="{D5CDD505-2E9C-101B-9397-08002B2CF9AE}" pid="5" name="LinksUpToDate">
    <vt:bool>0</vt:bool>
  </property>
  <property fmtid="{D5CDD505-2E9C-101B-9397-08002B2CF9AE}" pid="6" name="ScaleCrop">
    <vt:bool>0</vt:bool>
  </property>
  <property fmtid="{D5CDD505-2E9C-101B-9397-08002B2CF9AE}" pid="7" name="ShareDoc">
    <vt:bool>0</vt:bool>
  </property>
</Properties>
</file>